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edieinstitutet-my.sharepoint.com/personal/emma_tufvesson_iths_se/Documents/"/>
    </mc:Choice>
  </mc:AlternateContent>
  <xr:revisionPtr revIDLastSave="420" documentId="8_{08D6391C-76CA-4228-B43D-C79F7454B036}" xr6:coauthVersionLast="47" xr6:coauthVersionMax="47" xr10:uidLastSave="{5DC87A31-E471-4CBE-85B2-0893DF36ED8F}"/>
  <bookViews>
    <workbookView xWindow="-120" yWindow="-120" windowWidth="29040" windowHeight="17520" firstSheet="2" xr2:uid="{562F723E-773F-4214-A7FA-328ADA1DD122}"/>
  </bookViews>
  <sheets>
    <sheet name="Planering" sheetId="4" r:id="rId1"/>
    <sheet name="Recept" sheetId="2" r:id="rId2"/>
    <sheet name="Ingredienser" sheetId="3" r:id="rId3"/>
    <sheet name="Inköpslista" sheetId="1" r:id="rId4"/>
  </sheets>
  <definedNames>
    <definedName name="Receptlist">Recept!$A:$A</definedName>
    <definedName name="Receptlista">Tabell4[#All]</definedName>
    <definedName name="Recepttabell">Tabell4[#All]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/>
  <c r="A2" i="1" a="1"/>
  <c r="A2" i="1"/>
  <c r="H2" i="1" a="1"/>
  <c r="H2" i="1"/>
  <c r="E2" i="1" a="1"/>
  <c r="E2" i="1"/>
  <c r="C70" i="1"/>
  <c r="C71" i="1"/>
  <c r="C72" i="1"/>
  <c r="B70" i="1"/>
  <c r="B71" i="1"/>
  <c r="B7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C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<sst xmlns="http://schemas.openxmlformats.org/spreadsheetml/2006/main" count="744" uniqueCount="160">
  <si>
    <t>Vecka</t>
  </si>
  <si>
    <t>Dag</t>
  </si>
  <si>
    <t>Måltid</t>
  </si>
  <si>
    <t>Måndag</t>
  </si>
  <si>
    <t>Lunch</t>
  </si>
  <si>
    <t>Pastasallad med kryddkorv</t>
  </si>
  <si>
    <t>Middag från söndag</t>
  </si>
  <si>
    <t>Middag</t>
  </si>
  <si>
    <t>Köttfärssås med linser, bönor &amp; morot + spaghetti</t>
  </si>
  <si>
    <t>Tisdag</t>
  </si>
  <si>
    <t>Lasagne med linser, bönor &amp; morot</t>
  </si>
  <si>
    <t>Onsdag</t>
  </si>
  <si>
    <t>Potatissallad med pulled pork</t>
  </si>
  <si>
    <t>Palak paneer + ris</t>
  </si>
  <si>
    <t>Torsdag</t>
  </si>
  <si>
    <t>Gräddstuvad pyttipanna med rödbetor &amp; ägg</t>
  </si>
  <si>
    <t>Fredag</t>
  </si>
  <si>
    <t>Omelett</t>
  </si>
  <si>
    <t>Lördag</t>
  </si>
  <si>
    <t>Söndag</t>
  </si>
  <si>
    <t>Pastasallad med kyckling</t>
  </si>
  <si>
    <t>Recept</t>
  </si>
  <si>
    <t>Beskrivning</t>
  </si>
  <si>
    <t>Portioner</t>
  </si>
  <si>
    <t>Kall pastasallad med kryddkorv, småtomater, lök, ärtor &amp; aioli.</t>
  </si>
  <si>
    <t>Kall potatissallad med pulled pork, lök, bönor &amp; aioli.</t>
  </si>
  <si>
    <t>Kall pastasallad med kyckling, bacon, majs, lök &amp; currymajonnäs.</t>
  </si>
  <si>
    <t>Köttfärssås med extra linser, bönor &amp; riven morot, serveras med spaghetti.</t>
  </si>
  <si>
    <t>Lasagne med köttfärs, linser, bönor &amp; morot i tomatsås och béchamel.</t>
  </si>
  <si>
    <t>Korv stroganoff + ris</t>
  </si>
  <si>
    <t>Klassisk korv stroganoff med ris.</t>
  </si>
  <si>
    <t>Kryddig korv med stuvade makaroner</t>
  </si>
  <si>
    <t>Stekt kryddkorv med krämigt stuvade makaroner.</t>
  </si>
  <si>
    <t>Kycklingpasta med curry &amp; ärtor</t>
  </si>
  <si>
    <t>Krämig kycklingpasta med curry, lök &amp; ärtor.</t>
  </si>
  <si>
    <t>Pasta med kyckling, bacon, grädde &amp; paprika</t>
  </si>
  <si>
    <t>Krämig pasta med kyckling, bacon, paprika &amp; lök.</t>
  </si>
  <si>
    <t>Indisk spenatgryta med paneer/grillost, serveras med ris.</t>
  </si>
  <si>
    <t>Linsgryta + ris</t>
  </si>
  <si>
    <t>Kryddig linsgryta med tomat &amp; grönsaker, serveras med ris.</t>
  </si>
  <si>
    <t>Ugnsomelett med potatis &amp; grönsaker</t>
  </si>
  <si>
    <t>Omelett i ugn med potatis, ost &amp; grönsaker.</t>
  </si>
  <si>
    <t>Pytt i panna stuvad i grädde, serveras med rödbetor &amp; stekt ägg.</t>
  </si>
  <si>
    <t>Fläsk med kokt potatis &amp; löksås</t>
  </si>
  <si>
    <t>Stekt fläsk med kokt potatis och krämig löksås.</t>
  </si>
  <si>
    <t>Köttbullar med gräddsås, potatispuré &amp; rårörda lingon</t>
  </si>
  <si>
    <t>Hemgjorda köttbullar med mos, gräddsås &amp; lingon.</t>
  </si>
  <si>
    <t>Wallenbergare med potatispuré, gröna ärtor, rårörda lingon &amp; skirat smör</t>
  </si>
  <si>
    <t>Wallenbergare med mos, ärtor, lingon &amp; skirat smör.</t>
  </si>
  <si>
    <t>Wienerschnitzel med stekt potatis, gröna ärtor, citron &amp; kapris</t>
  </si>
  <si>
    <t>Panerad schnitzel med stekt potatis, ärtor, citron &amp; kapris.</t>
  </si>
  <si>
    <t>Ryggbiff med stekt potatis, bearnaise, tomat &amp; rödlök</t>
  </si>
  <si>
    <t>Ryggbiff med stekt potatis, bearnaise, tomat &amp; rödlök.</t>
  </si>
  <si>
    <t>Lövbiffsgratäng med ädelost, gräddmjölk, purjolök &amp; ris</t>
  </si>
  <si>
    <t>Ugnsgratäng på lövbiff, ädelost &amp; purjo, serveras med ris.</t>
  </si>
  <si>
    <t>Pasta med biff, paprika, grädde, gul lök &amp; dijon</t>
  </si>
  <si>
    <t>Krämig pasta med biff, paprika, lök &amp; dijonsenap.</t>
  </si>
  <si>
    <t>Pizza bacon/champinjon/ananas</t>
  </si>
  <si>
    <t>Pizza på färdig deg med egen tomatsås, bacon, konserverade champinjoner &amp; ananas.</t>
  </si>
  <si>
    <t>Ugnspannkaka med bacon</t>
  </si>
  <si>
    <t>Ugnspannkaka i långpanna med bacon.</t>
  </si>
  <si>
    <t>Pannbiff med ugnspotatis</t>
  </si>
  <si>
    <t>Pannbiffar med ugnsrostad potatis &amp; enkel sås.</t>
  </si>
  <si>
    <t>Spaghetti carbonara</t>
  </si>
  <si>
    <t>Klassisk carbonara med ägg, ost &amp; bacon/pancetta.</t>
  </si>
  <si>
    <t>Pannkakor</t>
  </si>
  <si>
    <t>Vanliga + Amerikanska</t>
  </si>
  <si>
    <t>Gulasch</t>
  </si>
  <si>
    <t>Mustig gulaschgryta med potatis, paprika &amp; lök.</t>
  </si>
  <si>
    <t>Snabb omelett i stekpanna, bra “släng i vad som finns”-rätt.</t>
  </si>
  <si>
    <t>Ingrediens</t>
  </si>
  <si>
    <t>Mängd</t>
  </si>
  <si>
    <t>Enhet</t>
  </si>
  <si>
    <t>Pasta</t>
  </si>
  <si>
    <t>g</t>
  </si>
  <si>
    <t>Kryddkorv</t>
  </si>
  <si>
    <t>st</t>
  </si>
  <si>
    <t>Småtomater</t>
  </si>
  <si>
    <t>Lök (gul/salladslök/purjo)</t>
  </si>
  <si>
    <t>Frysta ärtor</t>
  </si>
  <si>
    <t>Rapsolja</t>
  </si>
  <si>
    <t>dl</t>
  </si>
  <si>
    <t>Ägg</t>
  </si>
  <si>
    <t>Vitlök</t>
  </si>
  <si>
    <t>klyfta</t>
  </si>
  <si>
    <t>Vitvinsvinäger</t>
  </si>
  <si>
    <t>msk</t>
  </si>
  <si>
    <t>Senap</t>
  </si>
  <si>
    <t>Potatis</t>
  </si>
  <si>
    <t>Pulled pork</t>
  </si>
  <si>
    <t>Bönor</t>
  </si>
  <si>
    <t>burk</t>
  </si>
  <si>
    <t>Kyckling</t>
  </si>
  <si>
    <t>Bacon</t>
  </si>
  <si>
    <t>pkt</t>
  </si>
  <si>
    <t>Majs</t>
  </si>
  <si>
    <t>Curry</t>
  </si>
  <si>
    <t>Nöt- eller blandfärs</t>
  </si>
  <si>
    <t>Matlagningsgrädde</t>
  </si>
  <si>
    <t>Morot</t>
  </si>
  <si>
    <t>Gul lök</t>
  </si>
  <si>
    <t>Krossade tomater</t>
  </si>
  <si>
    <t>Spaghetti</t>
  </si>
  <si>
    <t>Tomatpuré</t>
  </si>
  <si>
    <t>Röda linser</t>
  </si>
  <si>
    <t>Lasagneplattor</t>
  </si>
  <si>
    <t>Mjölk</t>
  </si>
  <si>
    <t>Riven ost</t>
  </si>
  <si>
    <t>Palsternacka</t>
  </si>
  <si>
    <t>Falukorv</t>
  </si>
  <si>
    <t>Ris</t>
  </si>
  <si>
    <t>Kryddig korv</t>
  </si>
  <si>
    <t>Makaroner</t>
  </si>
  <si>
    <t>Vetemjöl</t>
  </si>
  <si>
    <t>0.3</t>
  </si>
  <si>
    <t>Paprika</t>
  </si>
  <si>
    <t>Paneer/grillost</t>
  </si>
  <si>
    <t>frp</t>
  </si>
  <si>
    <t>Fryst spenat</t>
  </si>
  <si>
    <t>Tomat</t>
  </si>
  <si>
    <t>Pyttipanna (fryst)</t>
  </si>
  <si>
    <t>1.5</t>
  </si>
  <si>
    <t>Inlagda rödbetor</t>
  </si>
  <si>
    <t>Sidfläsk</t>
  </si>
  <si>
    <t>ml</t>
  </si>
  <si>
    <t>Lingonsylt</t>
  </si>
  <si>
    <t>Kalvfärs/nötfärs</t>
  </si>
  <si>
    <t>Grädde</t>
  </si>
  <si>
    <t>Gröna ärtor</t>
  </si>
  <si>
    <t>Smör</t>
  </si>
  <si>
    <t>Schnitzelkött</t>
  </si>
  <si>
    <t>Citron</t>
  </si>
  <si>
    <t>Kapris</t>
  </si>
  <si>
    <t>Ryggbiff</t>
  </si>
  <si>
    <t>Bearnaisesås</t>
  </si>
  <si>
    <t>Rödlök</t>
  </si>
  <si>
    <t>Lövbiff</t>
  </si>
  <si>
    <t>Purjolök</t>
  </si>
  <si>
    <t>Ädelost</t>
  </si>
  <si>
    <t>Gräddmjölk</t>
  </si>
  <si>
    <t>Biff</t>
  </si>
  <si>
    <t>Dijonsenap</t>
  </si>
  <si>
    <t>tsk</t>
  </si>
  <si>
    <t>Färdig pizzadeg</t>
  </si>
  <si>
    <t>Konserverade champinjoner</t>
  </si>
  <si>
    <t>Konserverad ananas</t>
  </si>
  <si>
    <t>Ströbröd</t>
  </si>
  <si>
    <t>Smör till stekning</t>
  </si>
  <si>
    <t>Smör (Davids pannkakor)</t>
  </si>
  <si>
    <t>Bakpulver</t>
  </si>
  <si>
    <t>Strösocker</t>
  </si>
  <si>
    <t>Högrev</t>
  </si>
  <si>
    <t>Buljong</t>
  </si>
  <si>
    <t>tärningar</t>
  </si>
  <si>
    <t>Grönsaker (valfritt)</t>
  </si>
  <si>
    <t>Smör/olja</t>
  </si>
  <si>
    <t>Total mängd</t>
  </si>
  <si>
    <t>Planerade recept</t>
  </si>
  <si>
    <t>Vecka att handla för</t>
  </si>
  <si>
    <t>Recept vald vecka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</si>
</sst>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F40BE5-0A2D-42D4-ADD7-AF926750CEDA}" name="Tabell4" displayName="Tabell4" ref="A1:C35" totalsRowShown="0" headerRowDxfId="0">
  <autoFilter ref="A1:C35" xr:uid="{66F40BE5-0A2D-42D4-ADD7-AF926750CEDA}"/>
  <tableColumns count="3">
    <tableColumn id="1" xr3:uid="{BDC9EF04-7E51-4A5B-BB8B-C16FEC75D37C}" name="Recept"/>
    <tableColumn id="2" xr3:uid="{76F3ED92-529E-402E-8BEF-200279598F63}" name="Beskrivning"/>
    <tableColumn id="3" xr3:uid="{3EF0CAB0-B489-4AF2-9808-16754F140DC1}" name="Portio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DCB3-068C-4242-B84E-11F58AA8F3DE}">
  <dimension ref="A1:F72"/>
  <sheetViews>
    <sheetView tabSelected="1" topLeftCell="A6" workbookViewId="0">
      <selection activeCell="D14" sqref="D14"/>
    </sheetView>
  </sheetViews>
  <sheetFormatPr defaultRowHeight="15"/>
  <cols>
    <col min="4" max="4" width="67.42578125" bestFit="1" customWidth="1"/>
    <col min="5" max="5" width="74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>
      <c r="A2">
        <v>1</v>
      </c>
      <c r="B2" t="s">
        <v>3</v>
      </c>
      <c r="C2" t="s">
        <v>4</v>
      </c>
      <c r="D2" t="s">
        <v>5</v>
      </c>
    </row>
    <row r="3" spans="1:6">
      <c r="A3">
        <v>1</v>
      </c>
      <c r="B3" t="s">
        <v>3</v>
      </c>
      <c r="C3" t="s">
        <v>4</v>
      </c>
      <c r="D3" t="s">
        <v>6</v>
      </c>
    </row>
    <row r="4" spans="1:6">
      <c r="A4">
        <v>1</v>
      </c>
      <c r="B4" t="s">
        <v>3</v>
      </c>
      <c r="C4" t="s">
        <v>7</v>
      </c>
      <c r="D4" t="s">
        <v>8</v>
      </c>
    </row>
    <row r="5" spans="1:6">
      <c r="A5">
        <v>1</v>
      </c>
      <c r="B5" t="s">
        <v>9</v>
      </c>
      <c r="C5" t="s">
        <v>4</v>
      </c>
      <c r="D5" t="s">
        <v>8</v>
      </c>
    </row>
    <row r="6" spans="1:6">
      <c r="A6">
        <v>1</v>
      </c>
      <c r="B6" t="s">
        <v>9</v>
      </c>
      <c r="C6" t="s">
        <v>7</v>
      </c>
      <c r="D6" t="s">
        <v>10</v>
      </c>
    </row>
    <row r="7" spans="1:6">
      <c r="A7">
        <v>1</v>
      </c>
      <c r="B7" t="s">
        <v>11</v>
      </c>
      <c r="C7" t="s">
        <v>4</v>
      </c>
      <c r="D7" t="s">
        <v>12</v>
      </c>
    </row>
    <row r="8" spans="1:6">
      <c r="A8">
        <v>1</v>
      </c>
      <c r="B8" t="s">
        <v>11</v>
      </c>
      <c r="C8" t="s">
        <v>4</v>
      </c>
      <c r="D8" t="s">
        <v>10</v>
      </c>
    </row>
    <row r="9" spans="1:6">
      <c r="A9">
        <v>1</v>
      </c>
      <c r="B9" t="s">
        <v>11</v>
      </c>
      <c r="C9" t="s">
        <v>7</v>
      </c>
      <c r="D9" t="s">
        <v>13</v>
      </c>
    </row>
    <row r="10" spans="1:6">
      <c r="A10">
        <v>1</v>
      </c>
      <c r="B10" t="s">
        <v>14</v>
      </c>
      <c r="C10" t="s">
        <v>4</v>
      </c>
      <c r="D10" t="s">
        <v>12</v>
      </c>
    </row>
    <row r="11" spans="1:6">
      <c r="A11">
        <v>1</v>
      </c>
      <c r="B11" t="s">
        <v>14</v>
      </c>
      <c r="C11" t="s">
        <v>4</v>
      </c>
      <c r="D11" t="s">
        <v>13</v>
      </c>
    </row>
    <row r="12" spans="1:6">
      <c r="A12">
        <v>1</v>
      </c>
      <c r="B12" t="s">
        <v>14</v>
      </c>
      <c r="C12" t="s">
        <v>7</v>
      </c>
      <c r="D12" t="s">
        <v>15</v>
      </c>
    </row>
    <row r="13" spans="1:6">
      <c r="A13">
        <v>1</v>
      </c>
      <c r="B13" t="s">
        <v>16</v>
      </c>
      <c r="C13" t="s">
        <v>4</v>
      </c>
      <c r="D13" t="s">
        <v>17</v>
      </c>
    </row>
    <row r="14" spans="1:6">
      <c r="A14">
        <v>1</v>
      </c>
      <c r="B14" t="s">
        <v>16</v>
      </c>
      <c r="C14" t="s">
        <v>7</v>
      </c>
    </row>
    <row r="15" spans="1:6">
      <c r="A15">
        <v>1</v>
      </c>
      <c r="B15" t="s">
        <v>18</v>
      </c>
      <c r="C15" t="s">
        <v>4</v>
      </c>
    </row>
    <row r="16" spans="1:6">
      <c r="A16">
        <v>1</v>
      </c>
      <c r="B16" t="s">
        <v>18</v>
      </c>
      <c r="C16" t="s">
        <v>7</v>
      </c>
    </row>
    <row r="17" spans="1:4">
      <c r="A17">
        <v>1</v>
      </c>
      <c r="B17" t="s">
        <v>19</v>
      </c>
      <c r="C17" t="s">
        <v>4</v>
      </c>
    </row>
    <row r="18" spans="1:4">
      <c r="A18">
        <v>1</v>
      </c>
      <c r="B18" t="s">
        <v>19</v>
      </c>
      <c r="C18" t="s">
        <v>7</v>
      </c>
    </row>
    <row r="20" spans="1:4">
      <c r="A20">
        <v>2</v>
      </c>
      <c r="B20" t="s">
        <v>3</v>
      </c>
      <c r="C20" t="s">
        <v>4</v>
      </c>
      <c r="D20" t="s">
        <v>5</v>
      </c>
    </row>
    <row r="21" spans="1:4">
      <c r="A21">
        <v>2</v>
      </c>
      <c r="B21" t="s">
        <v>3</v>
      </c>
      <c r="C21" t="s">
        <v>4</v>
      </c>
    </row>
    <row r="22" spans="1:4">
      <c r="A22">
        <v>2</v>
      </c>
      <c r="B22" t="s">
        <v>3</v>
      </c>
      <c r="C22" t="s">
        <v>7</v>
      </c>
    </row>
    <row r="23" spans="1:4">
      <c r="A23">
        <v>2</v>
      </c>
      <c r="B23" t="s">
        <v>9</v>
      </c>
      <c r="C23" t="s">
        <v>4</v>
      </c>
    </row>
    <row r="24" spans="1:4">
      <c r="A24">
        <v>2</v>
      </c>
      <c r="B24" t="s">
        <v>9</v>
      </c>
      <c r="C24" t="s">
        <v>7</v>
      </c>
    </row>
    <row r="25" spans="1:4">
      <c r="A25">
        <v>2</v>
      </c>
      <c r="B25" t="s">
        <v>11</v>
      </c>
      <c r="C25" t="s">
        <v>4</v>
      </c>
      <c r="D25" t="s">
        <v>20</v>
      </c>
    </row>
    <row r="26" spans="1:4">
      <c r="A26">
        <v>2</v>
      </c>
      <c r="B26" t="s">
        <v>11</v>
      </c>
      <c r="C26" t="s">
        <v>4</v>
      </c>
    </row>
    <row r="27" spans="1:4">
      <c r="A27">
        <v>2</v>
      </c>
      <c r="B27" t="s">
        <v>11</v>
      </c>
      <c r="C27" t="s">
        <v>7</v>
      </c>
    </row>
    <row r="28" spans="1:4">
      <c r="A28">
        <v>2</v>
      </c>
      <c r="B28" t="s">
        <v>14</v>
      </c>
      <c r="C28" t="s">
        <v>4</v>
      </c>
      <c r="D28" t="s">
        <v>20</v>
      </c>
    </row>
    <row r="29" spans="1:4">
      <c r="A29">
        <v>2</v>
      </c>
      <c r="B29" t="s">
        <v>14</v>
      </c>
      <c r="C29" t="s">
        <v>4</v>
      </c>
    </row>
    <row r="30" spans="1:4">
      <c r="A30">
        <v>2</v>
      </c>
      <c r="B30" t="s">
        <v>14</v>
      </c>
      <c r="C30" t="s">
        <v>7</v>
      </c>
    </row>
    <row r="31" spans="1:4">
      <c r="A31">
        <v>2</v>
      </c>
      <c r="B31" t="s">
        <v>16</v>
      </c>
      <c r="C31" t="s">
        <v>4</v>
      </c>
    </row>
    <row r="32" spans="1:4">
      <c r="A32">
        <v>2</v>
      </c>
      <c r="B32" t="s">
        <v>16</v>
      </c>
      <c r="C32" t="s">
        <v>7</v>
      </c>
    </row>
    <row r="33" spans="1:4">
      <c r="A33">
        <v>2</v>
      </c>
      <c r="B33" t="s">
        <v>18</v>
      </c>
      <c r="C33" t="s">
        <v>4</v>
      </c>
    </row>
    <row r="34" spans="1:4">
      <c r="A34">
        <v>2</v>
      </c>
      <c r="B34" t="s">
        <v>18</v>
      </c>
      <c r="C34" t="s">
        <v>7</v>
      </c>
    </row>
    <row r="35" spans="1:4">
      <c r="A35">
        <v>2</v>
      </c>
      <c r="B35" t="s">
        <v>19</v>
      </c>
      <c r="C35" t="s">
        <v>4</v>
      </c>
    </row>
    <row r="36" spans="1:4">
      <c r="A36">
        <v>2</v>
      </c>
      <c r="B36" t="s">
        <v>19</v>
      </c>
      <c r="C36" t="s">
        <v>7</v>
      </c>
    </row>
    <row r="38" spans="1:4">
      <c r="A38">
        <v>3</v>
      </c>
      <c r="B38" t="s">
        <v>3</v>
      </c>
      <c r="C38" t="s">
        <v>4</v>
      </c>
      <c r="D38" t="s">
        <v>5</v>
      </c>
    </row>
    <row r="39" spans="1:4">
      <c r="A39">
        <v>3</v>
      </c>
      <c r="B39" t="s">
        <v>3</v>
      </c>
      <c r="C39" t="s">
        <v>4</v>
      </c>
    </row>
    <row r="40" spans="1:4">
      <c r="A40">
        <v>3</v>
      </c>
      <c r="B40" t="s">
        <v>3</v>
      </c>
      <c r="C40" t="s">
        <v>7</v>
      </c>
    </row>
    <row r="41" spans="1:4">
      <c r="A41">
        <v>3</v>
      </c>
      <c r="B41" t="s">
        <v>9</v>
      </c>
      <c r="C41" t="s">
        <v>4</v>
      </c>
    </row>
    <row r="42" spans="1:4">
      <c r="A42">
        <v>3</v>
      </c>
      <c r="B42" t="s">
        <v>9</v>
      </c>
      <c r="C42" t="s">
        <v>7</v>
      </c>
    </row>
    <row r="43" spans="1:4">
      <c r="A43">
        <v>3</v>
      </c>
      <c r="B43" t="s">
        <v>11</v>
      </c>
      <c r="C43" t="s">
        <v>4</v>
      </c>
    </row>
    <row r="44" spans="1:4">
      <c r="A44">
        <v>3</v>
      </c>
      <c r="B44" t="s">
        <v>11</v>
      </c>
      <c r="C44" t="s">
        <v>4</v>
      </c>
    </row>
    <row r="45" spans="1:4">
      <c r="A45">
        <v>3</v>
      </c>
      <c r="B45" t="s">
        <v>11</v>
      </c>
      <c r="C45" t="s">
        <v>7</v>
      </c>
    </row>
    <row r="46" spans="1:4">
      <c r="A46">
        <v>3</v>
      </c>
      <c r="B46" t="s">
        <v>14</v>
      </c>
      <c r="C46" t="s">
        <v>4</v>
      </c>
    </row>
    <row r="47" spans="1:4">
      <c r="A47">
        <v>3</v>
      </c>
      <c r="B47" t="s">
        <v>14</v>
      </c>
      <c r="C47" t="s">
        <v>4</v>
      </c>
    </row>
    <row r="48" spans="1:4">
      <c r="A48">
        <v>3</v>
      </c>
      <c r="B48" t="s">
        <v>14</v>
      </c>
      <c r="C48" t="s">
        <v>7</v>
      </c>
    </row>
    <row r="49" spans="1:4">
      <c r="A49">
        <v>3</v>
      </c>
      <c r="B49" t="s">
        <v>16</v>
      </c>
      <c r="C49" t="s">
        <v>4</v>
      </c>
    </row>
    <row r="50" spans="1:4">
      <c r="A50">
        <v>3</v>
      </c>
      <c r="B50" t="s">
        <v>16</v>
      </c>
      <c r="C50" t="s">
        <v>7</v>
      </c>
    </row>
    <row r="51" spans="1:4">
      <c r="A51">
        <v>3</v>
      </c>
      <c r="B51" t="s">
        <v>18</v>
      </c>
      <c r="C51" t="s">
        <v>4</v>
      </c>
    </row>
    <row r="52" spans="1:4">
      <c r="A52">
        <v>3</v>
      </c>
      <c r="B52" t="s">
        <v>18</v>
      </c>
      <c r="C52" t="s">
        <v>7</v>
      </c>
    </row>
    <row r="53" spans="1:4">
      <c r="A53">
        <v>3</v>
      </c>
      <c r="B53" t="s">
        <v>19</v>
      </c>
      <c r="C53" t="s">
        <v>4</v>
      </c>
    </row>
    <row r="54" spans="1:4">
      <c r="A54">
        <v>3</v>
      </c>
      <c r="B54" t="s">
        <v>19</v>
      </c>
      <c r="C54" t="s">
        <v>7</v>
      </c>
    </row>
    <row r="56" spans="1:4">
      <c r="A56">
        <v>4</v>
      </c>
      <c r="B56" t="s">
        <v>3</v>
      </c>
      <c r="C56" t="s">
        <v>4</v>
      </c>
      <c r="D56" t="s">
        <v>5</v>
      </c>
    </row>
    <row r="57" spans="1:4">
      <c r="A57">
        <v>4</v>
      </c>
      <c r="B57" t="s">
        <v>3</v>
      </c>
      <c r="C57" t="s">
        <v>4</v>
      </c>
    </row>
    <row r="58" spans="1:4">
      <c r="A58">
        <v>4</v>
      </c>
      <c r="B58" t="s">
        <v>3</v>
      </c>
      <c r="C58" t="s">
        <v>7</v>
      </c>
    </row>
    <row r="59" spans="1:4">
      <c r="A59">
        <v>4</v>
      </c>
      <c r="B59" t="s">
        <v>9</v>
      </c>
      <c r="C59" t="s">
        <v>4</v>
      </c>
    </row>
    <row r="60" spans="1:4">
      <c r="A60">
        <v>4</v>
      </c>
      <c r="B60" t="s">
        <v>9</v>
      </c>
      <c r="C60" t="s">
        <v>7</v>
      </c>
    </row>
    <row r="61" spans="1:4">
      <c r="A61">
        <v>4</v>
      </c>
      <c r="B61" t="s">
        <v>11</v>
      </c>
      <c r="C61" t="s">
        <v>4</v>
      </c>
    </row>
    <row r="62" spans="1:4">
      <c r="A62">
        <v>4</v>
      </c>
      <c r="B62" t="s">
        <v>11</v>
      </c>
      <c r="C62" t="s">
        <v>4</v>
      </c>
    </row>
    <row r="63" spans="1:4">
      <c r="A63">
        <v>4</v>
      </c>
      <c r="B63" t="s">
        <v>11</v>
      </c>
      <c r="C63" t="s">
        <v>7</v>
      </c>
    </row>
    <row r="64" spans="1:4">
      <c r="A64">
        <v>4</v>
      </c>
      <c r="B64" t="s">
        <v>14</v>
      </c>
      <c r="C64" t="s">
        <v>4</v>
      </c>
    </row>
    <row r="65" spans="1:3">
      <c r="A65">
        <v>4</v>
      </c>
      <c r="B65" t="s">
        <v>14</v>
      </c>
      <c r="C65" t="s">
        <v>4</v>
      </c>
    </row>
    <row r="66" spans="1:3">
      <c r="A66">
        <v>4</v>
      </c>
      <c r="B66" t="s">
        <v>14</v>
      </c>
      <c r="C66" t="s">
        <v>7</v>
      </c>
    </row>
    <row r="67" spans="1:3">
      <c r="A67">
        <v>4</v>
      </c>
      <c r="B67" t="s">
        <v>16</v>
      </c>
      <c r="C67" t="s">
        <v>4</v>
      </c>
    </row>
    <row r="68" spans="1:3">
      <c r="A68">
        <v>4</v>
      </c>
      <c r="B68" t="s">
        <v>16</v>
      </c>
      <c r="C68" t="s">
        <v>7</v>
      </c>
    </row>
    <row r="69" spans="1:3">
      <c r="A69">
        <v>4</v>
      </c>
      <c r="B69" t="s">
        <v>18</v>
      </c>
      <c r="C69" t="s">
        <v>4</v>
      </c>
    </row>
    <row r="70" spans="1:3">
      <c r="A70">
        <v>4</v>
      </c>
      <c r="B70" t="s">
        <v>18</v>
      </c>
      <c r="C70" t="s">
        <v>7</v>
      </c>
    </row>
    <row r="71" spans="1:3">
      <c r="A71">
        <v>4</v>
      </c>
      <c r="B71" t="s">
        <v>19</v>
      </c>
      <c r="C71" t="s">
        <v>4</v>
      </c>
    </row>
    <row r="72" spans="1:3">
      <c r="A72">
        <v>4</v>
      </c>
      <c r="B72" t="s">
        <v>19</v>
      </c>
      <c r="C72" t="s">
        <v>7</v>
      </c>
    </row>
  </sheetData>
  <dataValidations count="1">
    <dataValidation type="list" allowBlank="1" showInputMessage="1" showErrorMessage="1" sqref="D2:D72" xr:uid="{F8513718-687C-4A83-A6FB-9CF991278C31}">
      <formula1>Receptlist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E36C-DC12-48D8-A791-43920B3914A7}">
  <dimension ref="A1:D35"/>
  <sheetViews>
    <sheetView topLeftCell="A20" workbookViewId="0">
      <selection activeCell="C35" sqref="C35"/>
    </sheetView>
  </sheetViews>
  <sheetFormatPr defaultRowHeight="15"/>
  <cols>
    <col min="1" max="1" width="67.42578125" bestFit="1" customWidth="1"/>
    <col min="2" max="2" width="79" bestFit="1" customWidth="1"/>
    <col min="3" max="3" width="11.5703125" customWidth="1"/>
  </cols>
  <sheetData>
    <row r="1" spans="1:4">
      <c r="A1" s="1" t="s">
        <v>21</v>
      </c>
      <c r="B1" s="1" t="s">
        <v>22</v>
      </c>
      <c r="C1" s="1" t="s">
        <v>23</v>
      </c>
      <c r="D1" s="1"/>
    </row>
    <row r="2" spans="1:4">
      <c r="A2" t="s">
        <v>5</v>
      </c>
      <c r="B2" t="s">
        <v>24</v>
      </c>
      <c r="C2">
        <v>2</v>
      </c>
    </row>
    <row r="3" spans="1:4">
      <c r="A3" t="s">
        <v>12</v>
      </c>
      <c r="B3" t="s">
        <v>25</v>
      </c>
      <c r="C3">
        <v>2</v>
      </c>
    </row>
    <row r="4" spans="1:4">
      <c r="A4" t="s">
        <v>20</v>
      </c>
      <c r="B4" t="s">
        <v>26</v>
      </c>
      <c r="C4">
        <v>2</v>
      </c>
    </row>
    <row r="6" spans="1:4">
      <c r="A6" t="s">
        <v>8</v>
      </c>
      <c r="B6" t="s">
        <v>27</v>
      </c>
      <c r="C6">
        <v>4</v>
      </c>
    </row>
    <row r="7" spans="1:4">
      <c r="A7" t="s">
        <v>10</v>
      </c>
      <c r="B7" t="s">
        <v>28</v>
      </c>
      <c r="C7">
        <v>8</v>
      </c>
    </row>
    <row r="9" spans="1:4">
      <c r="A9" t="s">
        <v>29</v>
      </c>
      <c r="B9" t="s">
        <v>30</v>
      </c>
      <c r="C9">
        <v>4</v>
      </c>
    </row>
    <row r="10" spans="1:4">
      <c r="A10" t="s">
        <v>31</v>
      </c>
      <c r="B10" t="s">
        <v>32</v>
      </c>
      <c r="C10">
        <v>2</v>
      </c>
    </row>
    <row r="11" spans="1:4">
      <c r="A11" t="s">
        <v>33</v>
      </c>
      <c r="B11" t="s">
        <v>34</v>
      </c>
      <c r="C11">
        <v>4</v>
      </c>
    </row>
    <row r="12" spans="1:4">
      <c r="A12" t="s">
        <v>35</v>
      </c>
      <c r="B12" t="s">
        <v>36</v>
      </c>
      <c r="C12">
        <v>4</v>
      </c>
    </row>
    <row r="14" spans="1:4">
      <c r="A14" t="s">
        <v>13</v>
      </c>
      <c r="B14" t="s">
        <v>37</v>
      </c>
      <c r="C14">
        <v>4</v>
      </c>
    </row>
    <row r="15" spans="1:4">
      <c r="A15" t="s">
        <v>38</v>
      </c>
      <c r="B15" t="s">
        <v>39</v>
      </c>
      <c r="C15">
        <v>4</v>
      </c>
    </row>
    <row r="16" spans="1:4">
      <c r="A16" t="s">
        <v>40</v>
      </c>
      <c r="B16" t="s">
        <v>41</v>
      </c>
      <c r="C16">
        <v>2</v>
      </c>
    </row>
    <row r="18" spans="1:3">
      <c r="A18" t="s">
        <v>15</v>
      </c>
      <c r="B18" t="s">
        <v>42</v>
      </c>
      <c r="C18">
        <v>2</v>
      </c>
    </row>
    <row r="19" spans="1:3">
      <c r="A19" t="s">
        <v>43</v>
      </c>
      <c r="B19" t="s">
        <v>44</v>
      </c>
      <c r="C19">
        <v>2</v>
      </c>
    </row>
    <row r="20" spans="1:3">
      <c r="A20" t="s">
        <v>45</v>
      </c>
      <c r="B20" t="s">
        <v>46</v>
      </c>
      <c r="C20">
        <v>4</v>
      </c>
    </row>
    <row r="21" spans="1:3">
      <c r="A21" t="s">
        <v>47</v>
      </c>
      <c r="B21" t="s">
        <v>48</v>
      </c>
      <c r="C21">
        <v>4</v>
      </c>
    </row>
    <row r="23" spans="1:3">
      <c r="A23" t="s">
        <v>49</v>
      </c>
      <c r="B23" t="s">
        <v>50</v>
      </c>
      <c r="C23">
        <v>2</v>
      </c>
    </row>
    <row r="24" spans="1:3">
      <c r="A24" t="s">
        <v>51</v>
      </c>
      <c r="B24" t="s">
        <v>52</v>
      </c>
      <c r="C24">
        <v>2</v>
      </c>
    </row>
    <row r="25" spans="1:3">
      <c r="A25" t="s">
        <v>53</v>
      </c>
      <c r="B25" t="s">
        <v>54</v>
      </c>
      <c r="C25">
        <v>4</v>
      </c>
    </row>
    <row r="26" spans="1:3">
      <c r="A26" t="s">
        <v>55</v>
      </c>
      <c r="B26" t="s">
        <v>56</v>
      </c>
      <c r="C26">
        <v>4</v>
      </c>
    </row>
    <row r="28" spans="1:3">
      <c r="A28" t="s">
        <v>57</v>
      </c>
      <c r="B28" t="s">
        <v>58</v>
      </c>
      <c r="C28">
        <v>2</v>
      </c>
    </row>
    <row r="29" spans="1:3">
      <c r="A29" t="s">
        <v>59</v>
      </c>
      <c r="B29" t="s">
        <v>60</v>
      </c>
      <c r="C29">
        <v>4</v>
      </c>
    </row>
    <row r="30" spans="1:3">
      <c r="A30" t="s">
        <v>61</v>
      </c>
      <c r="B30" t="s">
        <v>62</v>
      </c>
      <c r="C30">
        <v>4</v>
      </c>
    </row>
    <row r="31" spans="1:3">
      <c r="A31" t="s">
        <v>63</v>
      </c>
      <c r="B31" t="s">
        <v>64</v>
      </c>
      <c r="C31">
        <v>4</v>
      </c>
    </row>
    <row r="32" spans="1:3">
      <c r="A32" t="s">
        <v>65</v>
      </c>
      <c r="B32" t="s">
        <v>66</v>
      </c>
      <c r="C32">
        <v>4</v>
      </c>
    </row>
    <row r="33" spans="1:3">
      <c r="A33" t="s">
        <v>67</v>
      </c>
      <c r="B33" t="s">
        <v>68</v>
      </c>
      <c r="C33">
        <v>4</v>
      </c>
    </row>
    <row r="35" spans="1:3">
      <c r="A35" t="s">
        <v>17</v>
      </c>
      <c r="B35" t="s">
        <v>69</v>
      </c>
      <c r="C35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FC6D-0F3A-4568-98CE-1A29A5010C13}">
  <dimension ref="A1:E201"/>
  <sheetViews>
    <sheetView topLeftCell="A153" workbookViewId="0">
      <selection activeCell="E170" sqref="E170"/>
    </sheetView>
  </sheetViews>
  <sheetFormatPr defaultRowHeight="15"/>
  <cols>
    <col min="1" max="1" width="67.42578125" bestFit="1" customWidth="1"/>
    <col min="2" max="2" width="29.7109375" bestFit="1" customWidth="1"/>
    <col min="3" max="3" width="6.85546875" bestFit="1" customWidth="1"/>
  </cols>
  <sheetData>
    <row r="1" spans="1:5">
      <c r="A1" s="1" t="s">
        <v>21</v>
      </c>
      <c r="B1" s="1" t="s">
        <v>70</v>
      </c>
      <c r="C1" s="1" t="s">
        <v>71</v>
      </c>
      <c r="D1" s="1" t="s">
        <v>72</v>
      </c>
      <c r="E1" s="1"/>
    </row>
    <row r="2" spans="1:5">
      <c r="A2" t="s">
        <v>5</v>
      </c>
      <c r="B2" t="s">
        <v>73</v>
      </c>
      <c r="C2">
        <v>150</v>
      </c>
      <c r="D2" t="s">
        <v>74</v>
      </c>
    </row>
    <row r="3" spans="1:5">
      <c r="A3" t="s">
        <v>5</v>
      </c>
      <c r="B3" t="s">
        <v>75</v>
      </c>
      <c r="C3">
        <v>3</v>
      </c>
      <c r="D3" t="s">
        <v>76</v>
      </c>
    </row>
    <row r="4" spans="1:5">
      <c r="A4" t="s">
        <v>5</v>
      </c>
      <c r="B4" t="s">
        <v>77</v>
      </c>
      <c r="C4">
        <v>100</v>
      </c>
      <c r="D4" t="s">
        <v>74</v>
      </c>
    </row>
    <row r="5" spans="1:5">
      <c r="A5" t="s">
        <v>5</v>
      </c>
      <c r="B5" t="s">
        <v>78</v>
      </c>
      <c r="C5">
        <v>1</v>
      </c>
      <c r="D5" t="s">
        <v>76</v>
      </c>
    </row>
    <row r="6" spans="1:5">
      <c r="A6" t="s">
        <v>5</v>
      </c>
      <c r="B6" t="s">
        <v>79</v>
      </c>
      <c r="C6">
        <v>50</v>
      </c>
      <c r="D6" t="s">
        <v>74</v>
      </c>
    </row>
    <row r="7" spans="1:5">
      <c r="A7" t="s">
        <v>5</v>
      </c>
      <c r="B7" t="s">
        <v>80</v>
      </c>
      <c r="C7">
        <v>2</v>
      </c>
      <c r="D7" t="s">
        <v>81</v>
      </c>
    </row>
    <row r="8" spans="1:5">
      <c r="A8" t="s">
        <v>5</v>
      </c>
      <c r="B8" t="s">
        <v>82</v>
      </c>
      <c r="C8">
        <v>1</v>
      </c>
      <c r="D8" t="s">
        <v>76</v>
      </c>
    </row>
    <row r="9" spans="1:5">
      <c r="A9" t="s">
        <v>5</v>
      </c>
      <c r="B9" t="s">
        <v>83</v>
      </c>
      <c r="C9">
        <v>1</v>
      </c>
      <c r="D9" t="s">
        <v>84</v>
      </c>
    </row>
    <row r="10" spans="1:5">
      <c r="A10" t="s">
        <v>5</v>
      </c>
      <c r="B10" t="s">
        <v>85</v>
      </c>
      <c r="C10">
        <v>1</v>
      </c>
      <c r="D10" t="s">
        <v>86</v>
      </c>
    </row>
    <row r="11" spans="1:5">
      <c r="A11" t="s">
        <v>5</v>
      </c>
      <c r="B11" t="s">
        <v>87</v>
      </c>
      <c r="C11">
        <v>1</v>
      </c>
      <c r="D11" t="s">
        <v>86</v>
      </c>
    </row>
    <row r="13" spans="1:5">
      <c r="A13" t="s">
        <v>12</v>
      </c>
      <c r="B13" t="s">
        <v>88</v>
      </c>
      <c r="C13">
        <v>200</v>
      </c>
      <c r="D13" t="s">
        <v>74</v>
      </c>
    </row>
    <row r="14" spans="1:5">
      <c r="A14" t="s">
        <v>12</v>
      </c>
      <c r="B14" t="s">
        <v>89</v>
      </c>
      <c r="C14">
        <v>100</v>
      </c>
      <c r="D14" t="s">
        <v>74</v>
      </c>
    </row>
    <row r="15" spans="1:5">
      <c r="A15" t="s">
        <v>12</v>
      </c>
      <c r="B15" t="s">
        <v>78</v>
      </c>
      <c r="C15">
        <v>1</v>
      </c>
      <c r="D15" t="s">
        <v>76</v>
      </c>
    </row>
    <row r="16" spans="1:5">
      <c r="A16" t="s">
        <v>12</v>
      </c>
      <c r="B16" t="s">
        <v>90</v>
      </c>
      <c r="C16">
        <v>1</v>
      </c>
      <c r="D16" t="s">
        <v>91</v>
      </c>
    </row>
    <row r="17" spans="1:4">
      <c r="A17" t="s">
        <v>12</v>
      </c>
      <c r="B17" t="s">
        <v>80</v>
      </c>
      <c r="C17">
        <v>2</v>
      </c>
      <c r="D17" t="s">
        <v>81</v>
      </c>
    </row>
    <row r="18" spans="1:4">
      <c r="A18" t="s">
        <v>12</v>
      </c>
      <c r="B18" t="s">
        <v>82</v>
      </c>
      <c r="C18">
        <v>1</v>
      </c>
      <c r="D18" t="s">
        <v>76</v>
      </c>
    </row>
    <row r="19" spans="1:4">
      <c r="A19" t="s">
        <v>12</v>
      </c>
      <c r="B19" t="s">
        <v>83</v>
      </c>
      <c r="C19">
        <v>1</v>
      </c>
      <c r="D19" t="s">
        <v>84</v>
      </c>
    </row>
    <row r="20" spans="1:4">
      <c r="A20" t="s">
        <v>12</v>
      </c>
      <c r="B20" t="s">
        <v>85</v>
      </c>
      <c r="C20">
        <v>1</v>
      </c>
      <c r="D20" t="s">
        <v>86</v>
      </c>
    </row>
    <row r="21" spans="1:4">
      <c r="A21" t="s">
        <v>12</v>
      </c>
      <c r="B21" t="s">
        <v>87</v>
      </c>
      <c r="C21">
        <v>1</v>
      </c>
      <c r="D21" t="s">
        <v>86</v>
      </c>
    </row>
    <row r="23" spans="1:4">
      <c r="A23" t="s">
        <v>20</v>
      </c>
      <c r="B23" t="s">
        <v>73</v>
      </c>
      <c r="C23">
        <v>150</v>
      </c>
      <c r="D23" t="s">
        <v>74</v>
      </c>
    </row>
    <row r="24" spans="1:4">
      <c r="A24" t="s">
        <v>20</v>
      </c>
      <c r="B24" t="s">
        <v>92</v>
      </c>
      <c r="C24">
        <v>100</v>
      </c>
      <c r="D24" t="s">
        <v>74</v>
      </c>
    </row>
    <row r="25" spans="1:4">
      <c r="A25" t="s">
        <v>20</v>
      </c>
      <c r="B25" t="s">
        <v>93</v>
      </c>
      <c r="C25">
        <v>1</v>
      </c>
      <c r="D25" t="s">
        <v>94</v>
      </c>
    </row>
    <row r="26" spans="1:4">
      <c r="A26" t="s">
        <v>20</v>
      </c>
      <c r="B26" t="s">
        <v>95</v>
      </c>
      <c r="C26">
        <v>1</v>
      </c>
      <c r="D26" t="s">
        <v>91</v>
      </c>
    </row>
    <row r="27" spans="1:4">
      <c r="A27" t="s">
        <v>20</v>
      </c>
      <c r="B27" t="s">
        <v>78</v>
      </c>
      <c r="C27">
        <v>1</v>
      </c>
      <c r="D27" t="s">
        <v>76</v>
      </c>
    </row>
    <row r="28" spans="1:4">
      <c r="A28" t="s">
        <v>20</v>
      </c>
      <c r="B28" t="s">
        <v>80</v>
      </c>
      <c r="C28">
        <v>2</v>
      </c>
      <c r="D28" t="s">
        <v>81</v>
      </c>
    </row>
    <row r="29" spans="1:4">
      <c r="A29" t="s">
        <v>20</v>
      </c>
      <c r="B29" t="s">
        <v>82</v>
      </c>
      <c r="C29">
        <v>1</v>
      </c>
      <c r="D29" t="s">
        <v>76</v>
      </c>
    </row>
    <row r="30" spans="1:4">
      <c r="A30" t="s">
        <v>20</v>
      </c>
      <c r="B30" t="s">
        <v>85</v>
      </c>
      <c r="C30">
        <v>1</v>
      </c>
      <c r="D30" t="s">
        <v>86</v>
      </c>
    </row>
    <row r="31" spans="1:4">
      <c r="A31" t="s">
        <v>20</v>
      </c>
      <c r="B31" t="s">
        <v>87</v>
      </c>
      <c r="C31">
        <v>1</v>
      </c>
      <c r="D31" t="s">
        <v>86</v>
      </c>
    </row>
    <row r="32" spans="1:4">
      <c r="A32" t="s">
        <v>20</v>
      </c>
      <c r="B32" t="s">
        <v>96</v>
      </c>
    </row>
    <row r="34" spans="1:4">
      <c r="A34" t="s">
        <v>8</v>
      </c>
      <c r="B34" t="s">
        <v>97</v>
      </c>
      <c r="C34">
        <v>400</v>
      </c>
      <c r="D34" t="s">
        <v>74</v>
      </c>
    </row>
    <row r="35" spans="1:4">
      <c r="A35" t="s">
        <v>8</v>
      </c>
      <c r="B35" t="s">
        <v>98</v>
      </c>
      <c r="C35">
        <v>1.5</v>
      </c>
      <c r="D35" t="s">
        <v>81</v>
      </c>
    </row>
    <row r="36" spans="1:4">
      <c r="A36" t="s">
        <v>8</v>
      </c>
      <c r="B36" t="s">
        <v>90</v>
      </c>
      <c r="C36">
        <v>1</v>
      </c>
      <c r="D36" t="s">
        <v>91</v>
      </c>
    </row>
    <row r="37" spans="1:4">
      <c r="A37" t="s">
        <v>8</v>
      </c>
      <c r="B37" t="s">
        <v>99</v>
      </c>
      <c r="C37">
        <v>2</v>
      </c>
      <c r="D37" t="s">
        <v>76</v>
      </c>
    </row>
    <row r="38" spans="1:4">
      <c r="A38" t="s">
        <v>8</v>
      </c>
      <c r="B38" t="s">
        <v>100</v>
      </c>
      <c r="C38">
        <v>1</v>
      </c>
      <c r="D38" t="s">
        <v>76</v>
      </c>
    </row>
    <row r="39" spans="1:4">
      <c r="A39" t="s">
        <v>8</v>
      </c>
      <c r="B39" t="s">
        <v>101</v>
      </c>
      <c r="C39">
        <v>1</v>
      </c>
      <c r="D39" t="s">
        <v>91</v>
      </c>
    </row>
    <row r="40" spans="1:4">
      <c r="A40" t="s">
        <v>8</v>
      </c>
      <c r="B40" t="s">
        <v>102</v>
      </c>
      <c r="C40">
        <v>300</v>
      </c>
      <c r="D40" t="s">
        <v>74</v>
      </c>
    </row>
    <row r="41" spans="1:4">
      <c r="A41" t="s">
        <v>8</v>
      </c>
      <c r="B41" t="s">
        <v>103</v>
      </c>
      <c r="C41">
        <v>3</v>
      </c>
      <c r="D41" t="s">
        <v>86</v>
      </c>
    </row>
    <row r="43" spans="1:4">
      <c r="A43" t="s">
        <v>10</v>
      </c>
      <c r="B43" t="s">
        <v>97</v>
      </c>
      <c r="C43">
        <v>400</v>
      </c>
      <c r="D43" t="s">
        <v>74</v>
      </c>
    </row>
    <row r="44" spans="1:4">
      <c r="A44" t="s">
        <v>10</v>
      </c>
      <c r="B44" t="s">
        <v>104</v>
      </c>
      <c r="C44">
        <v>1</v>
      </c>
      <c r="D44" t="s">
        <v>91</v>
      </c>
    </row>
    <row r="45" spans="1:4">
      <c r="A45" t="s">
        <v>10</v>
      </c>
      <c r="B45" t="s">
        <v>90</v>
      </c>
      <c r="C45">
        <v>1</v>
      </c>
      <c r="D45" t="s">
        <v>91</v>
      </c>
    </row>
    <row r="46" spans="1:4">
      <c r="A46" t="s">
        <v>10</v>
      </c>
      <c r="B46" t="s">
        <v>99</v>
      </c>
      <c r="C46">
        <v>2</v>
      </c>
      <c r="D46" t="s">
        <v>76</v>
      </c>
    </row>
    <row r="47" spans="1:4">
      <c r="A47" t="s">
        <v>10</v>
      </c>
      <c r="B47" t="s">
        <v>100</v>
      </c>
      <c r="C47">
        <v>1</v>
      </c>
      <c r="D47" t="s">
        <v>76</v>
      </c>
    </row>
    <row r="48" spans="1:4">
      <c r="A48" t="s">
        <v>10</v>
      </c>
      <c r="B48" t="s">
        <v>101</v>
      </c>
      <c r="C48">
        <v>1</v>
      </c>
      <c r="D48" t="s">
        <v>91</v>
      </c>
    </row>
    <row r="49" spans="1:4">
      <c r="A49" t="s">
        <v>10</v>
      </c>
      <c r="B49" t="s">
        <v>105</v>
      </c>
      <c r="C49">
        <v>200</v>
      </c>
      <c r="D49" t="s">
        <v>74</v>
      </c>
    </row>
    <row r="50" spans="1:4">
      <c r="A50" t="s">
        <v>10</v>
      </c>
      <c r="B50" t="s">
        <v>106</v>
      </c>
      <c r="C50">
        <v>9</v>
      </c>
      <c r="D50" t="s">
        <v>81</v>
      </c>
    </row>
    <row r="51" spans="1:4">
      <c r="A51" t="s">
        <v>10</v>
      </c>
      <c r="B51" t="s">
        <v>107</v>
      </c>
      <c r="C51">
        <v>200</v>
      </c>
      <c r="D51" t="s">
        <v>74</v>
      </c>
    </row>
    <row r="52" spans="1:4">
      <c r="A52" t="s">
        <v>10</v>
      </c>
      <c r="B52" t="s">
        <v>98</v>
      </c>
      <c r="C52">
        <v>1</v>
      </c>
      <c r="D52" t="s">
        <v>81</v>
      </c>
    </row>
    <row r="53" spans="1:4">
      <c r="A53" t="s">
        <v>10</v>
      </c>
      <c r="B53" t="s">
        <v>103</v>
      </c>
      <c r="C53">
        <v>1</v>
      </c>
      <c r="D53" t="s">
        <v>81</v>
      </c>
    </row>
    <row r="54" spans="1:4">
      <c r="A54" t="s">
        <v>10</v>
      </c>
      <c r="B54" t="s">
        <v>108</v>
      </c>
      <c r="C54">
        <v>1</v>
      </c>
      <c r="D54" t="s">
        <v>76</v>
      </c>
    </row>
    <row r="56" spans="1:4">
      <c r="A56" t="s">
        <v>29</v>
      </c>
      <c r="B56" t="s">
        <v>109</v>
      </c>
      <c r="C56">
        <v>1</v>
      </c>
      <c r="D56" t="s">
        <v>76</v>
      </c>
    </row>
    <row r="57" spans="1:4">
      <c r="A57" t="s">
        <v>29</v>
      </c>
      <c r="B57" t="s">
        <v>100</v>
      </c>
      <c r="C57">
        <v>1</v>
      </c>
      <c r="D57" t="s">
        <v>76</v>
      </c>
    </row>
    <row r="58" spans="1:4">
      <c r="A58" t="s">
        <v>29</v>
      </c>
      <c r="B58" t="s">
        <v>101</v>
      </c>
      <c r="C58">
        <v>1</v>
      </c>
      <c r="D58" t="s">
        <v>91</v>
      </c>
    </row>
    <row r="59" spans="1:4">
      <c r="A59" t="s">
        <v>29</v>
      </c>
      <c r="B59" t="s">
        <v>98</v>
      </c>
      <c r="C59">
        <v>2</v>
      </c>
      <c r="D59" t="s">
        <v>81</v>
      </c>
    </row>
    <row r="60" spans="1:4">
      <c r="A60" t="s">
        <v>29</v>
      </c>
      <c r="B60" t="s">
        <v>110</v>
      </c>
      <c r="C60">
        <v>4</v>
      </c>
      <c r="D60" t="s">
        <v>81</v>
      </c>
    </row>
    <row r="61" spans="1:4">
      <c r="A61" t="s">
        <v>29</v>
      </c>
      <c r="B61" t="s">
        <v>103</v>
      </c>
      <c r="C61">
        <v>3</v>
      </c>
      <c r="D61" t="s">
        <v>86</v>
      </c>
    </row>
    <row r="63" spans="1:4">
      <c r="A63" t="s">
        <v>31</v>
      </c>
      <c r="B63" t="s">
        <v>111</v>
      </c>
      <c r="C63">
        <v>3</v>
      </c>
      <c r="D63" t="s">
        <v>76</v>
      </c>
    </row>
    <row r="64" spans="1:4">
      <c r="A64" t="s">
        <v>31</v>
      </c>
      <c r="B64" t="s">
        <v>112</v>
      </c>
      <c r="C64">
        <v>3</v>
      </c>
      <c r="D64" t="s">
        <v>81</v>
      </c>
    </row>
    <row r="65" spans="1:4">
      <c r="A65" t="s">
        <v>31</v>
      </c>
      <c r="B65" t="s">
        <v>106</v>
      </c>
      <c r="C65">
        <v>3</v>
      </c>
      <c r="D65" t="s">
        <v>81</v>
      </c>
    </row>
    <row r="66" spans="1:4">
      <c r="A66" t="s">
        <v>31</v>
      </c>
      <c r="B66" t="s">
        <v>113</v>
      </c>
      <c r="C66" s="2" t="s">
        <v>114</v>
      </c>
      <c r="D66" t="s">
        <v>81</v>
      </c>
    </row>
    <row r="68" spans="1:4">
      <c r="A68" t="s">
        <v>33</v>
      </c>
      <c r="B68" t="s">
        <v>92</v>
      </c>
      <c r="C68">
        <v>300</v>
      </c>
      <c r="D68" t="s">
        <v>74</v>
      </c>
    </row>
    <row r="69" spans="1:4">
      <c r="A69" t="s">
        <v>33</v>
      </c>
      <c r="B69" t="s">
        <v>73</v>
      </c>
      <c r="C69">
        <v>250</v>
      </c>
      <c r="D69" t="s">
        <v>74</v>
      </c>
    </row>
    <row r="70" spans="1:4">
      <c r="A70" t="s">
        <v>33</v>
      </c>
      <c r="B70" t="s">
        <v>79</v>
      </c>
      <c r="C70">
        <v>100</v>
      </c>
      <c r="D70" t="s">
        <v>74</v>
      </c>
    </row>
    <row r="71" spans="1:4">
      <c r="A71" t="s">
        <v>33</v>
      </c>
      <c r="B71" t="s">
        <v>100</v>
      </c>
      <c r="C71">
        <v>1</v>
      </c>
      <c r="D71" t="s">
        <v>76</v>
      </c>
    </row>
    <row r="72" spans="1:4">
      <c r="A72" t="s">
        <v>33</v>
      </c>
      <c r="B72" t="s">
        <v>98</v>
      </c>
      <c r="C72">
        <v>2</v>
      </c>
      <c r="D72" t="s">
        <v>81</v>
      </c>
    </row>
    <row r="73" spans="1:4">
      <c r="A73" t="s">
        <v>33</v>
      </c>
      <c r="B73" t="s">
        <v>96</v>
      </c>
      <c r="C73">
        <v>5</v>
      </c>
      <c r="D73" t="s">
        <v>74</v>
      </c>
    </row>
    <row r="75" spans="1:4">
      <c r="A75" t="s">
        <v>35</v>
      </c>
      <c r="B75" t="s">
        <v>92</v>
      </c>
      <c r="C75">
        <v>250</v>
      </c>
      <c r="D75" t="s">
        <v>74</v>
      </c>
    </row>
    <row r="76" spans="1:4">
      <c r="A76" t="s">
        <v>35</v>
      </c>
      <c r="B76" t="s">
        <v>93</v>
      </c>
      <c r="C76">
        <v>1</v>
      </c>
      <c r="D76" t="s">
        <v>94</v>
      </c>
    </row>
    <row r="77" spans="1:4">
      <c r="A77" t="s">
        <v>35</v>
      </c>
      <c r="B77" t="s">
        <v>115</v>
      </c>
      <c r="C77">
        <v>1</v>
      </c>
      <c r="D77" t="s">
        <v>76</v>
      </c>
    </row>
    <row r="78" spans="1:4">
      <c r="A78" t="s">
        <v>35</v>
      </c>
      <c r="B78" t="s">
        <v>100</v>
      </c>
      <c r="C78">
        <v>1</v>
      </c>
      <c r="D78" t="s">
        <v>76</v>
      </c>
    </row>
    <row r="79" spans="1:4">
      <c r="A79" t="s">
        <v>35</v>
      </c>
      <c r="B79" t="s">
        <v>98</v>
      </c>
      <c r="C79">
        <v>2</v>
      </c>
      <c r="D79" t="s">
        <v>81</v>
      </c>
    </row>
    <row r="80" spans="1:4">
      <c r="A80" t="s">
        <v>35</v>
      </c>
      <c r="B80" t="s">
        <v>73</v>
      </c>
      <c r="C80">
        <v>250</v>
      </c>
      <c r="D80" t="s">
        <v>74</v>
      </c>
    </row>
    <row r="82" spans="1:4">
      <c r="A82" t="s">
        <v>13</v>
      </c>
      <c r="B82" t="s">
        <v>116</v>
      </c>
      <c r="C82">
        <v>2</v>
      </c>
      <c r="D82" t="s">
        <v>117</v>
      </c>
    </row>
    <row r="83" spans="1:4">
      <c r="A83" t="s">
        <v>13</v>
      </c>
      <c r="B83" t="s">
        <v>118</v>
      </c>
      <c r="C83">
        <v>300</v>
      </c>
      <c r="D83" t="s">
        <v>74</v>
      </c>
    </row>
    <row r="84" spans="1:4">
      <c r="A84" t="s">
        <v>13</v>
      </c>
      <c r="B84" t="s">
        <v>100</v>
      </c>
      <c r="C84">
        <v>1</v>
      </c>
      <c r="D84" t="s">
        <v>76</v>
      </c>
    </row>
    <row r="85" spans="1:4">
      <c r="A85" t="s">
        <v>13</v>
      </c>
      <c r="B85" t="s">
        <v>83</v>
      </c>
      <c r="C85">
        <v>1</v>
      </c>
      <c r="D85" t="s">
        <v>84</v>
      </c>
    </row>
    <row r="86" spans="1:4">
      <c r="A86" t="s">
        <v>13</v>
      </c>
      <c r="B86" t="s">
        <v>119</v>
      </c>
      <c r="C86">
        <v>150</v>
      </c>
      <c r="D86" t="s">
        <v>74</v>
      </c>
    </row>
    <row r="87" spans="1:4">
      <c r="A87" t="s">
        <v>13</v>
      </c>
      <c r="B87" t="s">
        <v>98</v>
      </c>
      <c r="C87">
        <v>2</v>
      </c>
      <c r="D87" t="s">
        <v>81</v>
      </c>
    </row>
    <row r="88" spans="1:4">
      <c r="A88" t="s">
        <v>13</v>
      </c>
      <c r="B88" t="s">
        <v>110</v>
      </c>
      <c r="C88">
        <v>200</v>
      </c>
      <c r="D88" t="s">
        <v>74</v>
      </c>
    </row>
    <row r="90" spans="1:4">
      <c r="A90" t="s">
        <v>38</v>
      </c>
      <c r="B90" t="s">
        <v>104</v>
      </c>
      <c r="C90">
        <v>160</v>
      </c>
      <c r="D90" t="s">
        <v>74</v>
      </c>
    </row>
    <row r="91" spans="1:4">
      <c r="A91" t="s">
        <v>38</v>
      </c>
      <c r="B91" t="s">
        <v>100</v>
      </c>
      <c r="C91">
        <v>1</v>
      </c>
      <c r="D91" t="s">
        <v>76</v>
      </c>
    </row>
    <row r="92" spans="1:4">
      <c r="A92" t="s">
        <v>38</v>
      </c>
      <c r="B92" t="s">
        <v>99</v>
      </c>
      <c r="C92">
        <v>80</v>
      </c>
      <c r="D92" t="s">
        <v>74</v>
      </c>
    </row>
    <row r="93" spans="1:4">
      <c r="A93" t="s">
        <v>38</v>
      </c>
      <c r="B93" t="s">
        <v>101</v>
      </c>
      <c r="C93">
        <v>300</v>
      </c>
      <c r="D93" t="s">
        <v>74</v>
      </c>
    </row>
    <row r="94" spans="1:4">
      <c r="A94" t="s">
        <v>38</v>
      </c>
      <c r="B94" t="s">
        <v>110</v>
      </c>
      <c r="C94">
        <v>200</v>
      </c>
      <c r="D94" t="s">
        <v>74</v>
      </c>
    </row>
    <row r="95" spans="1:4">
      <c r="A95" t="s">
        <v>38</v>
      </c>
      <c r="B95" t="s">
        <v>103</v>
      </c>
      <c r="C95">
        <v>3</v>
      </c>
      <c r="D95" t="s">
        <v>86</v>
      </c>
    </row>
    <row r="97" spans="1:4">
      <c r="A97" t="s">
        <v>40</v>
      </c>
      <c r="B97" t="s">
        <v>82</v>
      </c>
      <c r="C97">
        <v>4</v>
      </c>
      <c r="D97" t="s">
        <v>76</v>
      </c>
    </row>
    <row r="98" spans="1:4">
      <c r="A98" t="s">
        <v>40</v>
      </c>
      <c r="B98" t="s">
        <v>106</v>
      </c>
      <c r="C98">
        <v>2</v>
      </c>
      <c r="D98" t="s">
        <v>81</v>
      </c>
    </row>
    <row r="99" spans="1:4">
      <c r="A99" t="s">
        <v>40</v>
      </c>
      <c r="B99" t="s">
        <v>88</v>
      </c>
      <c r="C99">
        <v>4</v>
      </c>
      <c r="D99" t="s">
        <v>76</v>
      </c>
    </row>
    <row r="100" spans="1:4">
      <c r="A100" t="s">
        <v>40</v>
      </c>
      <c r="B100" t="s">
        <v>107</v>
      </c>
      <c r="C100">
        <v>80</v>
      </c>
      <c r="D100" t="s">
        <v>74</v>
      </c>
    </row>
    <row r="101" spans="1:4">
      <c r="A101" t="s">
        <v>40</v>
      </c>
      <c r="B101" t="s">
        <v>79</v>
      </c>
      <c r="C101">
        <v>100</v>
      </c>
      <c r="D101" t="s">
        <v>74</v>
      </c>
    </row>
    <row r="102" spans="1:4">
      <c r="A102" t="s">
        <v>40</v>
      </c>
      <c r="B102" t="s">
        <v>100</v>
      </c>
      <c r="C102">
        <v>1</v>
      </c>
      <c r="D102" t="s">
        <v>76</v>
      </c>
    </row>
    <row r="103" spans="1:4">
      <c r="A103" t="s">
        <v>40</v>
      </c>
      <c r="B103" t="s">
        <v>115</v>
      </c>
      <c r="C103">
        <v>1</v>
      </c>
      <c r="D103" t="s">
        <v>76</v>
      </c>
    </row>
    <row r="105" spans="1:4">
      <c r="A105" t="s">
        <v>15</v>
      </c>
      <c r="B105" t="s">
        <v>120</v>
      </c>
      <c r="C105">
        <v>300</v>
      </c>
      <c r="D105" t="s">
        <v>74</v>
      </c>
    </row>
    <row r="106" spans="1:4">
      <c r="A106" t="s">
        <v>15</v>
      </c>
      <c r="B106" t="s">
        <v>98</v>
      </c>
      <c r="C106" s="3" t="s">
        <v>121</v>
      </c>
      <c r="D106" t="s">
        <v>81</v>
      </c>
    </row>
    <row r="107" spans="1:4">
      <c r="A107" t="s">
        <v>15</v>
      </c>
      <c r="B107" t="s">
        <v>82</v>
      </c>
      <c r="C107">
        <v>2</v>
      </c>
      <c r="D107" t="s">
        <v>76</v>
      </c>
    </row>
    <row r="108" spans="1:4">
      <c r="A108" t="s">
        <v>15</v>
      </c>
      <c r="B108" t="s">
        <v>122</v>
      </c>
      <c r="C108">
        <v>50</v>
      </c>
      <c r="D108" t="s">
        <v>74</v>
      </c>
    </row>
    <row r="110" spans="1:4">
      <c r="A110" t="s">
        <v>43</v>
      </c>
      <c r="B110" t="s">
        <v>123</v>
      </c>
      <c r="C110">
        <v>300</v>
      </c>
      <c r="D110" t="s">
        <v>74</v>
      </c>
    </row>
    <row r="111" spans="1:4">
      <c r="A111" t="s">
        <v>43</v>
      </c>
      <c r="B111" t="s">
        <v>88</v>
      </c>
      <c r="C111">
        <v>6</v>
      </c>
      <c r="D111" t="s">
        <v>76</v>
      </c>
    </row>
    <row r="112" spans="1:4">
      <c r="A112" t="s">
        <v>43</v>
      </c>
      <c r="B112" t="s">
        <v>100</v>
      </c>
      <c r="C112">
        <v>1</v>
      </c>
      <c r="D112" t="s">
        <v>76</v>
      </c>
    </row>
    <row r="113" spans="1:4">
      <c r="A113" t="s">
        <v>43</v>
      </c>
      <c r="B113" t="s">
        <v>113</v>
      </c>
      <c r="C113" t="s">
        <v>114</v>
      </c>
      <c r="D113" t="s">
        <v>81</v>
      </c>
    </row>
    <row r="114" spans="1:4">
      <c r="A114" t="s">
        <v>43</v>
      </c>
      <c r="B114" t="s">
        <v>106</v>
      </c>
      <c r="C114">
        <v>3</v>
      </c>
      <c r="D114" t="s">
        <v>81</v>
      </c>
    </row>
    <row r="116" spans="1:4">
      <c r="A116" t="s">
        <v>45</v>
      </c>
      <c r="B116" t="s">
        <v>97</v>
      </c>
      <c r="C116">
        <v>300</v>
      </c>
      <c r="D116" t="s">
        <v>74</v>
      </c>
    </row>
    <row r="117" spans="1:4">
      <c r="A117" t="s">
        <v>45</v>
      </c>
      <c r="B117" t="s">
        <v>88</v>
      </c>
      <c r="C117">
        <v>300</v>
      </c>
      <c r="D117" t="s">
        <v>74</v>
      </c>
    </row>
    <row r="118" spans="1:4">
      <c r="A118" t="s">
        <v>45</v>
      </c>
      <c r="B118" t="s">
        <v>98</v>
      </c>
      <c r="C118">
        <v>200</v>
      </c>
      <c r="D118" t="s">
        <v>124</v>
      </c>
    </row>
    <row r="119" spans="1:4">
      <c r="A119" t="s">
        <v>45</v>
      </c>
      <c r="B119" t="s">
        <v>125</v>
      </c>
      <c r="C119">
        <v>50</v>
      </c>
      <c r="D119" t="s">
        <v>74</v>
      </c>
    </row>
    <row r="121" spans="1:4">
      <c r="A121" t="s">
        <v>47</v>
      </c>
      <c r="B121" t="s">
        <v>126</v>
      </c>
      <c r="C121">
        <v>300</v>
      </c>
      <c r="D121" t="s">
        <v>74</v>
      </c>
    </row>
    <row r="122" spans="1:4">
      <c r="A122" t="s">
        <v>47</v>
      </c>
      <c r="B122" t="s">
        <v>88</v>
      </c>
      <c r="C122">
        <v>300</v>
      </c>
      <c r="D122" t="s">
        <v>74</v>
      </c>
    </row>
    <row r="123" spans="1:4">
      <c r="A123" t="s">
        <v>47</v>
      </c>
      <c r="B123" t="s">
        <v>127</v>
      </c>
      <c r="C123">
        <v>150</v>
      </c>
      <c r="D123" t="s">
        <v>124</v>
      </c>
    </row>
    <row r="124" spans="1:4">
      <c r="A124" t="s">
        <v>47</v>
      </c>
      <c r="B124" t="s">
        <v>128</v>
      </c>
      <c r="C124">
        <v>80</v>
      </c>
      <c r="D124" t="s">
        <v>74</v>
      </c>
    </row>
    <row r="125" spans="1:4">
      <c r="A125" t="s">
        <v>47</v>
      </c>
      <c r="B125" t="s">
        <v>129</v>
      </c>
      <c r="C125">
        <v>50</v>
      </c>
      <c r="D125" t="s">
        <v>74</v>
      </c>
    </row>
    <row r="126" spans="1:4">
      <c r="A126" t="s">
        <v>47</v>
      </c>
      <c r="B126" t="s">
        <v>125</v>
      </c>
      <c r="C126">
        <v>50</v>
      </c>
      <c r="D126" t="s">
        <v>74</v>
      </c>
    </row>
    <row r="128" spans="1:4">
      <c r="A128" t="s">
        <v>49</v>
      </c>
      <c r="B128" t="s">
        <v>130</v>
      </c>
      <c r="C128">
        <v>250</v>
      </c>
      <c r="D128" t="s">
        <v>74</v>
      </c>
    </row>
    <row r="129" spans="1:4">
      <c r="A129" t="s">
        <v>49</v>
      </c>
      <c r="B129" t="s">
        <v>88</v>
      </c>
      <c r="C129">
        <v>250</v>
      </c>
      <c r="D129" t="s">
        <v>74</v>
      </c>
    </row>
    <row r="130" spans="1:4">
      <c r="A130" t="s">
        <v>49</v>
      </c>
      <c r="B130" t="s">
        <v>128</v>
      </c>
      <c r="C130">
        <v>80</v>
      </c>
      <c r="D130" t="s">
        <v>74</v>
      </c>
    </row>
    <row r="131" spans="1:4">
      <c r="A131" t="s">
        <v>49</v>
      </c>
      <c r="B131" t="s">
        <v>131</v>
      </c>
      <c r="C131">
        <v>30</v>
      </c>
      <c r="D131" t="s">
        <v>74</v>
      </c>
    </row>
    <row r="132" spans="1:4">
      <c r="A132" t="s">
        <v>49</v>
      </c>
      <c r="B132" t="s">
        <v>132</v>
      </c>
      <c r="C132">
        <v>20</v>
      </c>
      <c r="D132" t="s">
        <v>74</v>
      </c>
    </row>
    <row r="134" spans="1:4">
      <c r="A134" t="s">
        <v>51</v>
      </c>
      <c r="B134" t="s">
        <v>133</v>
      </c>
      <c r="C134">
        <v>250</v>
      </c>
      <c r="D134" t="s">
        <v>74</v>
      </c>
    </row>
    <row r="135" spans="1:4">
      <c r="A135" t="s">
        <v>51</v>
      </c>
      <c r="B135" t="s">
        <v>88</v>
      </c>
      <c r="C135">
        <v>250</v>
      </c>
      <c r="D135" t="s">
        <v>74</v>
      </c>
    </row>
    <row r="136" spans="1:4">
      <c r="A136" t="s">
        <v>51</v>
      </c>
      <c r="B136" t="s">
        <v>134</v>
      </c>
      <c r="C136">
        <v>50</v>
      </c>
      <c r="D136" t="s">
        <v>74</v>
      </c>
    </row>
    <row r="137" spans="1:4">
      <c r="A137" t="s">
        <v>51</v>
      </c>
      <c r="B137" t="s">
        <v>119</v>
      </c>
      <c r="C137">
        <v>80</v>
      </c>
      <c r="D137" t="s">
        <v>74</v>
      </c>
    </row>
    <row r="138" spans="1:4">
      <c r="A138" t="s">
        <v>51</v>
      </c>
      <c r="B138" t="s">
        <v>135</v>
      </c>
      <c r="C138">
        <v>1</v>
      </c>
      <c r="D138" t="s">
        <v>76</v>
      </c>
    </row>
    <row r="140" spans="1:4">
      <c r="A140" t="s">
        <v>53</v>
      </c>
      <c r="B140" t="s">
        <v>136</v>
      </c>
      <c r="C140">
        <v>600</v>
      </c>
      <c r="D140" t="s">
        <v>74</v>
      </c>
    </row>
    <row r="141" spans="1:4">
      <c r="A141" t="s">
        <v>53</v>
      </c>
      <c r="B141" t="s">
        <v>137</v>
      </c>
      <c r="C141">
        <v>1</v>
      </c>
      <c r="D141" t="s">
        <v>76</v>
      </c>
    </row>
    <row r="142" spans="1:4">
      <c r="A142" t="s">
        <v>53</v>
      </c>
      <c r="B142" t="s">
        <v>138</v>
      </c>
      <c r="C142">
        <v>60</v>
      </c>
      <c r="D142" t="s">
        <v>74</v>
      </c>
    </row>
    <row r="143" spans="1:4">
      <c r="A143" t="s">
        <v>53</v>
      </c>
      <c r="B143" t="s">
        <v>139</v>
      </c>
      <c r="C143">
        <v>3</v>
      </c>
      <c r="D143" t="s">
        <v>81</v>
      </c>
    </row>
    <row r="144" spans="1:4">
      <c r="A144" t="s">
        <v>53</v>
      </c>
      <c r="B144" t="s">
        <v>110</v>
      </c>
      <c r="C144">
        <v>4</v>
      </c>
      <c r="D144" t="s">
        <v>81</v>
      </c>
    </row>
    <row r="146" spans="1:4">
      <c r="A146" t="s">
        <v>55</v>
      </c>
      <c r="B146" t="s">
        <v>140</v>
      </c>
      <c r="C146">
        <v>250</v>
      </c>
      <c r="D146" t="s">
        <v>74</v>
      </c>
    </row>
    <row r="147" spans="1:4">
      <c r="A147" t="s">
        <v>55</v>
      </c>
      <c r="B147" t="s">
        <v>115</v>
      </c>
      <c r="C147">
        <v>1</v>
      </c>
      <c r="D147" t="s">
        <v>76</v>
      </c>
    </row>
    <row r="148" spans="1:4">
      <c r="A148" t="s">
        <v>55</v>
      </c>
      <c r="B148" t="s">
        <v>100</v>
      </c>
      <c r="C148">
        <v>1</v>
      </c>
      <c r="D148" t="s">
        <v>76</v>
      </c>
    </row>
    <row r="149" spans="1:4">
      <c r="A149" t="s">
        <v>55</v>
      </c>
      <c r="B149" t="s">
        <v>98</v>
      </c>
      <c r="C149">
        <v>2</v>
      </c>
      <c r="D149" t="s">
        <v>81</v>
      </c>
    </row>
    <row r="150" spans="1:4">
      <c r="A150" t="s">
        <v>55</v>
      </c>
      <c r="B150" t="s">
        <v>141</v>
      </c>
      <c r="C150">
        <v>1</v>
      </c>
      <c r="D150" t="s">
        <v>142</v>
      </c>
    </row>
    <row r="151" spans="1:4">
      <c r="A151" t="s">
        <v>55</v>
      </c>
      <c r="B151" t="s">
        <v>73</v>
      </c>
      <c r="C151">
        <v>250</v>
      </c>
      <c r="D151" t="s">
        <v>74</v>
      </c>
    </row>
    <row r="153" spans="1:4">
      <c r="A153" t="s">
        <v>57</v>
      </c>
      <c r="B153" t="s">
        <v>143</v>
      </c>
      <c r="C153">
        <v>1</v>
      </c>
      <c r="D153" t="s">
        <v>76</v>
      </c>
    </row>
    <row r="154" spans="1:4">
      <c r="A154" t="s">
        <v>57</v>
      </c>
      <c r="B154" t="s">
        <v>101</v>
      </c>
      <c r="C154">
        <v>200</v>
      </c>
      <c r="D154" t="s">
        <v>74</v>
      </c>
    </row>
    <row r="155" spans="1:4">
      <c r="A155" t="s">
        <v>57</v>
      </c>
      <c r="B155" t="s">
        <v>93</v>
      </c>
      <c r="C155">
        <v>80</v>
      </c>
      <c r="D155" t="s">
        <v>74</v>
      </c>
    </row>
    <row r="156" spans="1:4">
      <c r="A156" t="s">
        <v>57</v>
      </c>
      <c r="B156" t="s">
        <v>144</v>
      </c>
      <c r="C156">
        <v>80</v>
      </c>
      <c r="D156" t="s">
        <v>74</v>
      </c>
    </row>
    <row r="157" spans="1:4">
      <c r="A157" t="s">
        <v>57</v>
      </c>
      <c r="B157" t="s">
        <v>145</v>
      </c>
      <c r="C157">
        <v>80</v>
      </c>
      <c r="D157" t="s">
        <v>74</v>
      </c>
    </row>
    <row r="158" spans="1:4">
      <c r="A158" t="s">
        <v>57</v>
      </c>
      <c r="B158" t="s">
        <v>107</v>
      </c>
      <c r="C158">
        <v>80</v>
      </c>
      <c r="D158" t="s">
        <v>74</v>
      </c>
    </row>
    <row r="160" spans="1:4">
      <c r="A160" t="s">
        <v>59</v>
      </c>
      <c r="B160" t="s">
        <v>113</v>
      </c>
      <c r="C160">
        <v>120</v>
      </c>
      <c r="D160" t="s">
        <v>74</v>
      </c>
    </row>
    <row r="161" spans="1:4">
      <c r="A161" t="s">
        <v>59</v>
      </c>
      <c r="B161" t="s">
        <v>106</v>
      </c>
      <c r="C161">
        <v>400</v>
      </c>
      <c r="D161" t="s">
        <v>124</v>
      </c>
    </row>
    <row r="162" spans="1:4">
      <c r="A162" t="s">
        <v>59</v>
      </c>
      <c r="B162" t="s">
        <v>82</v>
      </c>
      <c r="C162">
        <v>3</v>
      </c>
      <c r="D162" t="s">
        <v>76</v>
      </c>
    </row>
    <row r="163" spans="1:4">
      <c r="A163" t="s">
        <v>59</v>
      </c>
      <c r="B163" t="s">
        <v>93</v>
      </c>
      <c r="C163">
        <v>80</v>
      </c>
      <c r="D163" t="s">
        <v>74</v>
      </c>
    </row>
    <row r="165" spans="1:4">
      <c r="A165" t="s">
        <v>61</v>
      </c>
      <c r="B165" t="s">
        <v>97</v>
      </c>
      <c r="C165">
        <v>300</v>
      </c>
      <c r="D165" t="s">
        <v>74</v>
      </c>
    </row>
    <row r="166" spans="1:4">
      <c r="A166" t="s">
        <v>61</v>
      </c>
      <c r="B166" t="s">
        <v>88</v>
      </c>
      <c r="C166">
        <v>300</v>
      </c>
      <c r="D166" t="s">
        <v>74</v>
      </c>
    </row>
    <row r="167" spans="1:4">
      <c r="A167" t="s">
        <v>61</v>
      </c>
      <c r="B167" t="s">
        <v>100</v>
      </c>
      <c r="C167">
        <v>1</v>
      </c>
      <c r="D167" t="s">
        <v>76</v>
      </c>
    </row>
    <row r="168" spans="1:4">
      <c r="A168" t="s">
        <v>61</v>
      </c>
      <c r="B168" t="s">
        <v>98</v>
      </c>
      <c r="C168">
        <v>100</v>
      </c>
      <c r="D168" t="s">
        <v>124</v>
      </c>
    </row>
    <row r="169" spans="1:4">
      <c r="A169" t="s">
        <v>61</v>
      </c>
      <c r="B169" t="s">
        <v>146</v>
      </c>
      <c r="C169">
        <v>0.5</v>
      </c>
      <c r="D169" t="s">
        <v>81</v>
      </c>
    </row>
    <row r="170" spans="1:4">
      <c r="A170" t="s">
        <v>61</v>
      </c>
      <c r="B170" t="s">
        <v>82</v>
      </c>
      <c r="C170">
        <v>1</v>
      </c>
      <c r="D170" t="s">
        <v>76</v>
      </c>
    </row>
    <row r="172" spans="1:4">
      <c r="A172" t="s">
        <v>63</v>
      </c>
      <c r="B172" t="s">
        <v>102</v>
      </c>
      <c r="C172">
        <v>250</v>
      </c>
      <c r="D172" t="s">
        <v>74</v>
      </c>
    </row>
    <row r="173" spans="1:4">
      <c r="A173" t="s">
        <v>63</v>
      </c>
      <c r="B173" t="s">
        <v>93</v>
      </c>
      <c r="C173">
        <v>1</v>
      </c>
      <c r="D173" t="s">
        <v>94</v>
      </c>
    </row>
    <row r="174" spans="1:4">
      <c r="A174" t="s">
        <v>63</v>
      </c>
      <c r="B174" t="s">
        <v>82</v>
      </c>
      <c r="C174">
        <v>2</v>
      </c>
      <c r="D174" t="s">
        <v>76</v>
      </c>
    </row>
    <row r="175" spans="1:4">
      <c r="A175" t="s">
        <v>63</v>
      </c>
      <c r="B175" t="s">
        <v>79</v>
      </c>
      <c r="C175">
        <v>100</v>
      </c>
      <c r="D175" t="s">
        <v>74</v>
      </c>
    </row>
    <row r="176" spans="1:4">
      <c r="A176" t="s">
        <v>63</v>
      </c>
      <c r="B176" t="s">
        <v>100</v>
      </c>
      <c r="C176">
        <v>1</v>
      </c>
      <c r="D176" t="s">
        <v>76</v>
      </c>
    </row>
    <row r="178" spans="1:4">
      <c r="A178" t="s">
        <v>65</v>
      </c>
      <c r="B178" t="s">
        <v>113</v>
      </c>
      <c r="C178">
        <v>1.25</v>
      </c>
      <c r="D178" t="s">
        <v>81</v>
      </c>
    </row>
    <row r="179" spans="1:4">
      <c r="A179" t="s">
        <v>65</v>
      </c>
      <c r="B179" t="s">
        <v>106</v>
      </c>
      <c r="C179">
        <v>3</v>
      </c>
      <c r="D179" t="s">
        <v>81</v>
      </c>
    </row>
    <row r="180" spans="1:4">
      <c r="A180" t="s">
        <v>65</v>
      </c>
      <c r="B180" t="s">
        <v>82</v>
      </c>
      <c r="C180">
        <v>2</v>
      </c>
      <c r="D180" t="s">
        <v>76</v>
      </c>
    </row>
    <row r="181" spans="1:4">
      <c r="A181" t="s">
        <v>65</v>
      </c>
      <c r="B181" t="s">
        <v>147</v>
      </c>
      <c r="C181">
        <v>10</v>
      </c>
      <c r="D181" t="s">
        <v>74</v>
      </c>
    </row>
    <row r="183" spans="1:4">
      <c r="A183" t="s">
        <v>65</v>
      </c>
      <c r="B183" t="s">
        <v>148</v>
      </c>
      <c r="C183">
        <v>3</v>
      </c>
      <c r="D183" t="s">
        <v>86</v>
      </c>
    </row>
    <row r="184" spans="1:4">
      <c r="A184" t="s">
        <v>65</v>
      </c>
      <c r="B184" t="s">
        <v>149</v>
      </c>
      <c r="C184">
        <v>1</v>
      </c>
      <c r="D184" t="s">
        <v>86</v>
      </c>
    </row>
    <row r="185" spans="1:4">
      <c r="A185" t="s">
        <v>65</v>
      </c>
      <c r="B185" t="s">
        <v>150</v>
      </c>
      <c r="C185">
        <v>2</v>
      </c>
      <c r="D185" t="s">
        <v>86</v>
      </c>
    </row>
    <row r="186" spans="1:4">
      <c r="A186" t="s">
        <v>65</v>
      </c>
      <c r="B186" t="s">
        <v>82</v>
      </c>
      <c r="C186">
        <v>1</v>
      </c>
      <c r="D186" t="s">
        <v>76</v>
      </c>
    </row>
    <row r="187" spans="1:4">
      <c r="A187" t="s">
        <v>65</v>
      </c>
      <c r="B187" t="s">
        <v>113</v>
      </c>
      <c r="C187">
        <v>2.5</v>
      </c>
      <c r="D187" t="s">
        <v>81</v>
      </c>
    </row>
    <row r="188" spans="1:4">
      <c r="A188" t="s">
        <v>65</v>
      </c>
      <c r="B188" t="s">
        <v>106</v>
      </c>
      <c r="C188">
        <v>2.5</v>
      </c>
      <c r="D188" t="s">
        <v>81</v>
      </c>
    </row>
    <row r="190" spans="1:4">
      <c r="A190" t="s">
        <v>67</v>
      </c>
      <c r="B190" t="s">
        <v>151</v>
      </c>
      <c r="C190">
        <v>600</v>
      </c>
      <c r="D190" t="s">
        <v>74</v>
      </c>
    </row>
    <row r="191" spans="1:4">
      <c r="A191" t="s">
        <v>67</v>
      </c>
      <c r="B191" t="s">
        <v>88</v>
      </c>
      <c r="C191">
        <v>6</v>
      </c>
      <c r="D191" t="s">
        <v>76</v>
      </c>
    </row>
    <row r="192" spans="1:4">
      <c r="A192" t="s">
        <v>67</v>
      </c>
      <c r="B192" t="s">
        <v>115</v>
      </c>
      <c r="C192">
        <v>2</v>
      </c>
      <c r="D192" t="s">
        <v>76</v>
      </c>
    </row>
    <row r="193" spans="1:4">
      <c r="A193" t="s">
        <v>67</v>
      </c>
      <c r="B193" t="s">
        <v>100</v>
      </c>
      <c r="C193">
        <v>1</v>
      </c>
      <c r="D193" t="s">
        <v>76</v>
      </c>
    </row>
    <row r="194" spans="1:4">
      <c r="A194" t="s">
        <v>67</v>
      </c>
      <c r="B194" t="s">
        <v>152</v>
      </c>
      <c r="C194">
        <v>2</v>
      </c>
      <c r="D194" t="s">
        <v>153</v>
      </c>
    </row>
    <row r="195" spans="1:4">
      <c r="A195" t="s">
        <v>67</v>
      </c>
      <c r="B195" t="s">
        <v>101</v>
      </c>
      <c r="C195">
        <v>1</v>
      </c>
      <c r="D195" t="s">
        <v>91</v>
      </c>
    </row>
    <row r="197" spans="1:4">
      <c r="A197" t="s">
        <v>17</v>
      </c>
      <c r="B197" t="s">
        <v>82</v>
      </c>
      <c r="C197">
        <v>3</v>
      </c>
      <c r="D197" t="s">
        <v>76</v>
      </c>
    </row>
    <row r="198" spans="1:4">
      <c r="A198" t="s">
        <v>17</v>
      </c>
      <c r="B198" t="s">
        <v>106</v>
      </c>
      <c r="C198">
        <v>50</v>
      </c>
      <c r="D198" t="s">
        <v>124</v>
      </c>
    </row>
    <row r="199" spans="1:4">
      <c r="A199" t="s">
        <v>17</v>
      </c>
      <c r="B199" t="s">
        <v>107</v>
      </c>
      <c r="C199">
        <v>30</v>
      </c>
      <c r="D199" t="s">
        <v>74</v>
      </c>
    </row>
    <row r="200" spans="1:4">
      <c r="A200" t="s">
        <v>17</v>
      </c>
      <c r="B200" t="s">
        <v>154</v>
      </c>
      <c r="C200">
        <v>50</v>
      </c>
      <c r="D200" t="s">
        <v>74</v>
      </c>
    </row>
    <row r="201" spans="1:4">
      <c r="A201" t="s">
        <v>17</v>
      </c>
      <c r="B201" t="s">
        <v>155</v>
      </c>
      <c r="C201">
        <v>10</v>
      </c>
      <c r="D20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22CC-8A01-485B-A5FF-7898078FEDF6}">
  <dimension ref="A1:H72"/>
  <sheetViews>
    <sheetView topLeftCell="A30" workbookViewId="0">
      <selection activeCell="F61" sqref="F61"/>
    </sheetView>
  </sheetViews>
  <sheetFormatPr defaultRowHeight="15"/>
  <cols>
    <col min="1" max="1" width="29.7109375" bestFit="1" customWidth="1"/>
    <col min="2" max="2" width="12" bestFit="1" customWidth="1"/>
    <col min="5" max="5" width="44" bestFit="1" customWidth="1"/>
    <col min="7" max="7" width="19" bestFit="1" customWidth="1"/>
    <col min="8" max="8" width="44" bestFit="1" customWidth="1"/>
  </cols>
  <sheetData>
    <row r="1" spans="1:8">
      <c r="A1" s="1" t="s">
        <v>70</v>
      </c>
      <c r="B1" s="1" t="s">
        <v>156</v>
      </c>
      <c r="C1" s="1" t="s">
        <v>72</v>
      </c>
      <c r="D1" s="1"/>
      <c r="E1" s="1" t="s">
        <v>157</v>
      </c>
      <c r="G1" s="1" t="s">
        <v>158</v>
      </c>
      <c r="H1" s="1" t="s">
        <v>159</v>
      </c>
    </row>
    <row r="2" spans="1:8">
      <c r="A2" t="str" cm="1">
        <f t="array" ref="A2:A35">_xlfn.UNIQUE(_xlfn._xlws.FILTER(Ingredienser!B:B,ISERROR(MATCH(Ingredienser!A:A,_xlfn.ANCHORARRAY($H$2),0))=FALSE))</f>
        <v>Pasta</v>
      </c>
      <c r="B2" cm="1">
        <f t="array" ref="B2">SUM(_xlfn._xlws.FILTER(Ingredienser!C:C,(Ingredienser!B:B=A2)*(ISERROR(MATCH(Ingredienser!A:A,_xlfn.ANCHORARRAY($H$2),0))=FALSE)))</f>
        <v>150</v>
      </c>
      <c r="C2" t="str">
        <f>_xlfn.XLOOKUP(A2,Ingredienser!B:B,Ingredienser!D:D,"")</f>
        <v>g</v>
      </c>
      <c r="E2" t="str" cm="1">
        <f t="array" ref="E2:E10">_xlfn.UNIQUE(_xlfn._xlws.FILTER(Planering!D:D,Planering!D:D&lt;&gt;""))</f>
        <v>Pastasallad med kryddkorv</v>
      </c>
      <c r="G2">
        <v>1</v>
      </c>
      <c r="H2" t="str" cm="1">
        <f t="array" ref="H2:H10">_xlfn.UNIQUE(_xlfn._xlws.FILTER(Planering!D:D,Planering!A:A=$G$2))</f>
        <v>Pastasallad med kryddkorv</v>
      </c>
    </row>
    <row r="3" spans="1:8">
      <c r="A3" t="str">
        <v>Kryddkorv</v>
      </c>
      <c r="B3">
        <f>IF(A3="","",SUMIF(Ingredienser!B:B,A3,Ingredienser!C:C))</f>
        <v>3</v>
      </c>
      <c r="C3" t="str">
        <f>IF(A3="","",_xlfn.XLOOKUP(A3,Ingredienser!B:B,Ingredienser!D:D,""))</f>
        <v>st</v>
      </c>
      <c r="E3" t="str">
        <v>Middag från söndag</v>
      </c>
      <c r="H3" t="str">
        <v>Middag från söndag</v>
      </c>
    </row>
    <row r="4" spans="1:8">
      <c r="A4" t="str">
        <v>Småtomater</v>
      </c>
      <c r="B4">
        <f>IF(A4="","",SUMIF(Ingredienser!B:B,A4,Ingredienser!C:C))</f>
        <v>100</v>
      </c>
      <c r="C4" t="str">
        <f>IF(A4="","",_xlfn.XLOOKUP(A4,Ingredienser!B:B,Ingredienser!D:D,""))</f>
        <v>g</v>
      </c>
      <c r="E4" t="str">
        <v>Köttfärssås med linser, bönor &amp; morot + spaghetti</v>
      </c>
      <c r="H4" t="str">
        <v>Köttfärssås med linser, bönor &amp; morot + spaghetti</v>
      </c>
    </row>
    <row r="5" spans="1:8">
      <c r="A5" t="str">
        <v>Lök (gul/salladslök/purjo)</v>
      </c>
      <c r="B5">
        <f>IF(A5="","",SUMIF(Ingredienser!B:B,A5,Ingredienser!C:C))</f>
        <v>3</v>
      </c>
      <c r="C5" t="str">
        <f>IF(A5="","",_xlfn.XLOOKUP(A5,Ingredienser!B:B,Ingredienser!D:D,""))</f>
        <v>st</v>
      </c>
      <c r="E5" t="str">
        <v>Lasagne med linser, bönor &amp; morot</v>
      </c>
      <c r="H5" t="str">
        <v>Lasagne med linser, bönor &amp; morot</v>
      </c>
    </row>
    <row r="6" spans="1:8">
      <c r="A6" t="str">
        <v>Frysta ärtor</v>
      </c>
      <c r="B6">
        <f>IF(A6="","",SUMIF(Ingredienser!B:B,A6,Ingredienser!C:C))</f>
        <v>350</v>
      </c>
      <c r="C6" t="str">
        <f>IF(A6="","",_xlfn.XLOOKUP(A6,Ingredienser!B:B,Ingredienser!D:D,""))</f>
        <v>g</v>
      </c>
      <c r="E6" t="str">
        <v>Potatissallad med pulled pork</v>
      </c>
      <c r="H6" t="str">
        <v>Potatissallad med pulled pork</v>
      </c>
    </row>
    <row r="7" spans="1:8">
      <c r="A7" t="str">
        <v>Rapsolja</v>
      </c>
      <c r="B7">
        <f>IF(A7="","",SUMIF(Ingredienser!B:B,A7,Ingredienser!C:C))</f>
        <v>6</v>
      </c>
      <c r="C7" t="str">
        <f>IF(A7="","",_xlfn.XLOOKUP(A7,Ingredienser!B:B,Ingredienser!D:D,""))</f>
        <v>dl</v>
      </c>
      <c r="E7" t="str">
        <v>Palak paneer + ris</v>
      </c>
      <c r="H7" t="str">
        <v>Palak paneer + ris</v>
      </c>
    </row>
    <row r="8" spans="1:8">
      <c r="A8" t="str">
        <v>Ägg</v>
      </c>
      <c r="B8">
        <f>IF(A8="","",SUMIF(Ingredienser!B:B,A8,Ingredienser!C:C))</f>
        <v>21</v>
      </c>
      <c r="C8" t="str">
        <f>IF(A8="","",_xlfn.XLOOKUP(A8,Ingredienser!B:B,Ingredienser!D:D,""))</f>
        <v>st</v>
      </c>
      <c r="E8" t="str">
        <v>Gräddstuvad pyttipanna med rödbetor &amp; ägg</v>
      </c>
      <c r="H8" t="str">
        <v>Gräddstuvad pyttipanna med rödbetor &amp; ägg</v>
      </c>
    </row>
    <row r="9" spans="1:8">
      <c r="A9" t="str">
        <v>Vitlök</v>
      </c>
      <c r="B9">
        <f>IF(A9="","",SUMIF(Ingredienser!B:B,A9,Ingredienser!C:C))</f>
        <v>3</v>
      </c>
      <c r="C9" t="str">
        <f>IF(A9="","",_xlfn.XLOOKUP(A9,Ingredienser!B:B,Ingredienser!D:D,""))</f>
        <v>klyfta</v>
      </c>
      <c r="E9" t="str">
        <v>Omelett</v>
      </c>
      <c r="H9" t="str">
        <v>Omelett</v>
      </c>
    </row>
    <row r="10" spans="1:8">
      <c r="A10" t="str">
        <v>Vitvinsvinäger</v>
      </c>
      <c r="B10">
        <f>IF(A10="","",SUMIF(Ingredienser!B:B,A10,Ingredienser!C:C))</f>
        <v>3</v>
      </c>
      <c r="C10" t="str">
        <f>IF(A10="","",_xlfn.XLOOKUP(A10,Ingredienser!B:B,Ingredienser!D:D,""))</f>
        <v>msk</v>
      </c>
      <c r="E10" t="str">
        <v>Pastasallad med kyckling</v>
      </c>
      <c r="H10">
        <v>0</v>
      </c>
    </row>
    <row r="11" spans="1:8">
      <c r="A11" t="str">
        <v>Senap</v>
      </c>
      <c r="B11">
        <f>IF(A11="","",SUMIF(Ingredienser!B:B,A11,Ingredienser!C:C))</f>
        <v>3</v>
      </c>
      <c r="C11" t="str">
        <f>IF(A11="","",_xlfn.XLOOKUP(A11,Ingredienser!B:B,Ingredienser!D:D,""))</f>
        <v>msk</v>
      </c>
    </row>
    <row r="12" spans="1:8">
      <c r="A12">
        <v>0</v>
      </c>
      <c r="B12">
        <f>IF(A12="","",SUMIF(Ingredienser!B:B,A12,Ingredienser!C:C))</f>
        <v>0</v>
      </c>
      <c r="C12" t="str">
        <f>IF(A12="","",_xlfn.XLOOKUP(A12,Ingredienser!B:B,Ingredienser!D:D,""))</f>
        <v/>
      </c>
    </row>
    <row r="13" spans="1:8">
      <c r="A13" t="str">
        <v>Potatis</v>
      </c>
      <c r="B13">
        <f>IF(A13="","",SUMIF(Ingredienser!B:B,A13,Ingredienser!C:C))</f>
        <v>1616</v>
      </c>
      <c r="C13" t="str">
        <f>IF(A13="","",_xlfn.XLOOKUP(A13,Ingredienser!B:B,Ingredienser!D:D,""))</f>
        <v>g</v>
      </c>
    </row>
    <row r="14" spans="1:8">
      <c r="A14" t="str">
        <v>Pulled pork</v>
      </c>
      <c r="B14">
        <f>IF(A14="","",SUMIF(Ingredienser!B:B,A14,Ingredienser!C:C))</f>
        <v>100</v>
      </c>
      <c r="C14" t="str">
        <f>IF(A14="","",_xlfn.XLOOKUP(A14,Ingredienser!B:B,Ingredienser!D:D,""))</f>
        <v>g</v>
      </c>
    </row>
    <row r="15" spans="1:8">
      <c r="A15" t="str">
        <v>Bönor</v>
      </c>
      <c r="B15">
        <f>IF(A15="","",SUMIF(Ingredienser!B:B,A15,Ingredienser!C:C))</f>
        <v>3</v>
      </c>
      <c r="C15" t="str">
        <f>IF(A15="","",_xlfn.XLOOKUP(A15,Ingredienser!B:B,Ingredienser!D:D,""))</f>
        <v>burk</v>
      </c>
    </row>
    <row r="16" spans="1:8">
      <c r="A16" t="str">
        <v>Nöt- eller blandfärs</v>
      </c>
      <c r="B16">
        <f>IF(A16="","",SUMIF(Ingredienser!B:B,A16,Ingredienser!C:C))</f>
        <v>1400</v>
      </c>
      <c r="C16" t="str">
        <f>IF(A16="","",_xlfn.XLOOKUP(A16,Ingredienser!B:B,Ingredienser!D:D,""))</f>
        <v>g</v>
      </c>
    </row>
    <row r="17" spans="1:3">
      <c r="A17" t="str">
        <v>Matlagningsgrädde</v>
      </c>
      <c r="B17">
        <f>IF(A17="","",SUMIF(Ingredienser!B:B,A17,Ingredienser!C:C))</f>
        <v>312.5</v>
      </c>
      <c r="C17" t="str">
        <f>IF(A17="","",_xlfn.XLOOKUP(A17,Ingredienser!B:B,Ingredienser!D:D,""))</f>
        <v>dl</v>
      </c>
    </row>
    <row r="18" spans="1:3">
      <c r="A18" t="str">
        <v>Morot</v>
      </c>
      <c r="B18">
        <f>IF(A18="","",SUMIF(Ingredienser!B:B,A18,Ingredienser!C:C))</f>
        <v>84</v>
      </c>
      <c r="C18" t="str">
        <f>IF(A18="","",_xlfn.XLOOKUP(A18,Ingredienser!B:B,Ingredienser!D:D,""))</f>
        <v>st</v>
      </c>
    </row>
    <row r="19" spans="1:3">
      <c r="A19" t="str">
        <v>Gul lök</v>
      </c>
      <c r="B19">
        <f>IF(A19="","",SUMIF(Ingredienser!B:B,A19,Ingredienser!C:C))</f>
        <v>13</v>
      </c>
      <c r="C19" t="str">
        <f>IF(A19="","",_xlfn.XLOOKUP(A19,Ingredienser!B:B,Ingredienser!D:D,""))</f>
        <v>st</v>
      </c>
    </row>
    <row r="20" spans="1:3">
      <c r="A20" t="str">
        <v>Krossade tomater</v>
      </c>
      <c r="B20">
        <f>IF(A20="","",SUMIF(Ingredienser!B:B,A20,Ingredienser!C:C))</f>
        <v>504</v>
      </c>
      <c r="C20" t="str">
        <f>IF(A20="","",_xlfn.XLOOKUP(A20,Ingredienser!B:B,Ingredienser!D:D,""))</f>
        <v>burk</v>
      </c>
    </row>
    <row r="21" spans="1:3">
      <c r="A21" t="str">
        <v>Spaghetti</v>
      </c>
      <c r="B21">
        <f>IF(A21="","",SUMIF(Ingredienser!B:B,A21,Ingredienser!C:C))</f>
        <v>550</v>
      </c>
      <c r="C21" t="str">
        <f>IF(A21="","",_xlfn.XLOOKUP(A21,Ingredienser!B:B,Ingredienser!D:D,""))</f>
        <v>g</v>
      </c>
    </row>
    <row r="22" spans="1:3">
      <c r="A22" t="str">
        <v>Tomatpuré</v>
      </c>
      <c r="B22">
        <f>IF(A22="","",SUMIF(Ingredienser!B:B,A22,Ingredienser!C:C))</f>
        <v>10</v>
      </c>
      <c r="C22" t="str">
        <f>IF(A22="","",_xlfn.XLOOKUP(A22,Ingredienser!B:B,Ingredienser!D:D,""))</f>
        <v>msk</v>
      </c>
    </row>
    <row r="23" spans="1:3">
      <c r="A23" t="str">
        <v>Röda linser</v>
      </c>
      <c r="B23">
        <f>IF(A23="","",SUMIF(Ingredienser!B:B,A23,Ingredienser!C:C))</f>
        <v>161</v>
      </c>
      <c r="C23" t="str">
        <f>IF(A23="","",_xlfn.XLOOKUP(A23,Ingredienser!B:B,Ingredienser!D:D,""))</f>
        <v>burk</v>
      </c>
    </row>
    <row r="24" spans="1:3">
      <c r="A24" t="str">
        <v>Lasagneplattor</v>
      </c>
      <c r="B24">
        <f>IF(A24="","",SUMIF(Ingredienser!B:B,A24,Ingredienser!C:C))</f>
        <v>200</v>
      </c>
      <c r="C24" t="str">
        <f>IF(A24="","",_xlfn.XLOOKUP(A24,Ingredienser!B:B,Ingredienser!D:D,""))</f>
        <v>g</v>
      </c>
    </row>
    <row r="25" spans="1:3">
      <c r="A25" t="str">
        <v>Mjölk</v>
      </c>
      <c r="B25">
        <f>IF(A25="","",SUMIF(Ingredienser!B:B,A25,Ingredienser!C:C))</f>
        <v>472.5</v>
      </c>
      <c r="C25" t="str">
        <f>IF(A25="","",_xlfn.XLOOKUP(A25,Ingredienser!B:B,Ingredienser!D:D,""))</f>
        <v>dl</v>
      </c>
    </row>
    <row r="26" spans="1:3">
      <c r="A26" t="str">
        <v>Riven ost</v>
      </c>
      <c r="B26">
        <f>IF(A26="","",SUMIF(Ingredienser!B:B,A26,Ingredienser!C:C))</f>
        <v>390</v>
      </c>
      <c r="C26" t="str">
        <f>IF(A26="","",_xlfn.XLOOKUP(A26,Ingredienser!B:B,Ingredienser!D:D,""))</f>
        <v>g</v>
      </c>
    </row>
    <row r="27" spans="1:3">
      <c r="A27" t="str">
        <v>Palsternacka</v>
      </c>
      <c r="B27">
        <f>IF(A27="","",SUMIF(Ingredienser!B:B,A27,Ingredienser!C:C))</f>
        <v>1</v>
      </c>
      <c r="C27" t="str">
        <f>IF(A27="","",_xlfn.XLOOKUP(A27,Ingredienser!B:B,Ingredienser!D:D,""))</f>
        <v>st</v>
      </c>
    </row>
    <row r="28" spans="1:3">
      <c r="A28" t="str">
        <v>Paneer/grillost</v>
      </c>
      <c r="B28">
        <f>IF(A28="","",SUMIF(Ingredienser!B:B,A28,Ingredienser!C:C))</f>
        <v>2</v>
      </c>
      <c r="C28" t="str">
        <f>IF(A28="","",_xlfn.XLOOKUP(A28,Ingredienser!B:B,Ingredienser!D:D,""))</f>
        <v>frp</v>
      </c>
    </row>
    <row r="29" spans="1:3">
      <c r="A29" t="str">
        <v>Fryst spenat</v>
      </c>
      <c r="B29">
        <f>IF(A29="","",SUMIF(Ingredienser!B:B,A29,Ingredienser!C:C))</f>
        <v>300</v>
      </c>
      <c r="C29" t="str">
        <f>IF(A29="","",_xlfn.XLOOKUP(A29,Ingredienser!B:B,Ingredienser!D:D,""))</f>
        <v>g</v>
      </c>
    </row>
    <row r="30" spans="1:3">
      <c r="A30" t="str">
        <v>Tomat</v>
      </c>
      <c r="B30">
        <f>IF(A30="","",SUMIF(Ingredienser!B:B,A30,Ingredienser!C:C))</f>
        <v>230</v>
      </c>
      <c r="C30" t="str">
        <f>IF(A30="","",_xlfn.XLOOKUP(A30,Ingredienser!B:B,Ingredienser!D:D,""))</f>
        <v>g</v>
      </c>
    </row>
    <row r="31" spans="1:3">
      <c r="A31" t="str">
        <v>Ris</v>
      </c>
      <c r="B31">
        <f>IF(A31="","",SUMIF(Ingredienser!B:B,A31,Ingredienser!C:C))</f>
        <v>408</v>
      </c>
      <c r="C31" t="str">
        <f>IF(A31="","",_xlfn.XLOOKUP(A31,Ingredienser!B:B,Ingredienser!D:D,""))</f>
        <v>dl</v>
      </c>
    </row>
    <row r="32" spans="1:3">
      <c r="A32" t="str">
        <v>Pyttipanna (fryst)</v>
      </c>
      <c r="B32">
        <f>IF(A32="","",SUMIF(Ingredienser!B:B,A32,Ingredienser!C:C))</f>
        <v>300</v>
      </c>
      <c r="C32" t="str">
        <f>IF(A32="","",_xlfn.XLOOKUP(A32,Ingredienser!B:B,Ingredienser!D:D,""))</f>
        <v>g</v>
      </c>
    </row>
    <row r="33" spans="1:3">
      <c r="A33" t="str">
        <v>Inlagda rödbetor</v>
      </c>
      <c r="B33">
        <f>IF(A33="","",SUMIF(Ingredienser!B:B,A33,Ingredienser!C:C))</f>
        <v>50</v>
      </c>
      <c r="C33" t="str">
        <f>IF(A33="","",_xlfn.XLOOKUP(A33,Ingredienser!B:B,Ingredienser!D:D,""))</f>
        <v>g</v>
      </c>
    </row>
    <row r="34" spans="1:3">
      <c r="A34" t="str">
        <v>Grönsaker (valfritt)</v>
      </c>
      <c r="B34">
        <f>IF(A34="","",SUMIF(Ingredienser!B:B,A34,Ingredienser!C:C))</f>
        <v>50</v>
      </c>
      <c r="C34" t="str">
        <f>IF(A34="","",_xlfn.XLOOKUP(A34,Ingredienser!B:B,Ingredienser!D:D,""))</f>
        <v>g</v>
      </c>
    </row>
    <row r="35" spans="1:3">
      <c r="A35" t="str">
        <v>Smör/olja</v>
      </c>
      <c r="B35">
        <f>IF(A35="","",SUMIF(Ingredienser!B:B,A35,Ingredienser!C:C))</f>
        <v>10</v>
      </c>
      <c r="C35" t="str">
        <f>IF(A35="","",_xlfn.XLOOKUP(A35,Ingredienser!B:B,Ingredienser!D:D,""))</f>
        <v>g</v>
      </c>
    </row>
    <row r="36" spans="1:3">
      <c r="B36" t="str">
        <f>IF(A36="","",SUMIF(Ingredienser!B:B,A36,Ingredienser!C:C))</f>
        <v/>
      </c>
      <c r="C36" t="str">
        <f>IF(A36="","",_xlfn.XLOOKUP(A36,Ingredienser!B:B,Ingredienser!D:D,""))</f>
        <v/>
      </c>
    </row>
    <row r="37" spans="1:3">
      <c r="B37" t="str">
        <f>IF(A37="","",SUMIF(Ingredienser!B:B,A37,Ingredienser!C:C))</f>
        <v/>
      </c>
      <c r="C37" t="str">
        <f>IF(A37="","",_xlfn.XLOOKUP(A37,Ingredienser!B:B,Ingredienser!D:D,""))</f>
        <v/>
      </c>
    </row>
    <row r="38" spans="1:3">
      <c r="B38" t="str">
        <f>IF(A38="","",SUMIF(Ingredienser!B:B,A38,Ingredienser!C:C))</f>
        <v/>
      </c>
      <c r="C38" t="str">
        <f>IF(A38="","",_xlfn.XLOOKUP(A38,Ingredienser!B:B,Ingredienser!D:D,""))</f>
        <v/>
      </c>
    </row>
    <row r="39" spans="1:3">
      <c r="B39" t="str">
        <f>IF(A39="","",SUMIF(Ingredienser!B:B,A39,Ingredienser!C:C))</f>
        <v/>
      </c>
      <c r="C39" t="str">
        <f>IF(A39="","",_xlfn.XLOOKUP(A39,Ingredienser!B:B,Ingredienser!D:D,""))</f>
        <v/>
      </c>
    </row>
    <row r="40" spans="1:3">
      <c r="B40" t="str">
        <f>IF(A40="","",SUMIF(Ingredienser!B:B,A40,Ingredienser!C:C))</f>
        <v/>
      </c>
      <c r="C40" t="str">
        <f>IF(A40="","",_xlfn.XLOOKUP(A40,Ingredienser!B:B,Ingredienser!D:D,""))</f>
        <v/>
      </c>
    </row>
    <row r="41" spans="1:3">
      <c r="B41" t="str">
        <f>IF(A41="","",SUMIF(Ingredienser!B:B,A41,Ingredienser!C:C))</f>
        <v/>
      </c>
      <c r="C41" t="str">
        <f>IF(A41="","",_xlfn.XLOOKUP(A41,Ingredienser!B:B,Ingredienser!D:D,""))</f>
        <v/>
      </c>
    </row>
    <row r="42" spans="1:3">
      <c r="B42" t="str">
        <f>IF(A42="","",SUMIF(Ingredienser!B:B,A42,Ingredienser!C:C))</f>
        <v/>
      </c>
      <c r="C42" t="str">
        <f>IF(A42="","",_xlfn.XLOOKUP(A42,Ingredienser!B:B,Ingredienser!D:D,""))</f>
        <v/>
      </c>
    </row>
    <row r="43" spans="1:3">
      <c r="B43" t="str">
        <f>IF(A43="","",SUMIF(Ingredienser!B:B,A43,Ingredienser!C:C))</f>
        <v/>
      </c>
      <c r="C43" t="str">
        <f>IF(A43="","",_xlfn.XLOOKUP(A43,Ingredienser!B:B,Ingredienser!D:D,""))</f>
        <v/>
      </c>
    </row>
    <row r="44" spans="1:3">
      <c r="B44" t="str">
        <f>IF(A44="","",SUMIF(Ingredienser!B:B,A44,Ingredienser!C:C))</f>
        <v/>
      </c>
      <c r="C44" t="str">
        <f>IF(A44="","",_xlfn.XLOOKUP(A44,Ingredienser!B:B,Ingredienser!D:D,""))</f>
        <v/>
      </c>
    </row>
    <row r="45" spans="1:3">
      <c r="B45" t="str">
        <f>IF(A45="","",SUMIF(Ingredienser!B:B,A45,Ingredienser!C:C))</f>
        <v/>
      </c>
      <c r="C45" t="str">
        <f>IF(A45="","",_xlfn.XLOOKUP(A45,Ingredienser!B:B,Ingredienser!D:D,""))</f>
        <v/>
      </c>
    </row>
    <row r="46" spans="1:3">
      <c r="B46" t="str">
        <f>IF(A46="","",SUMIF(Ingredienser!B:B,A46,Ingredienser!C:C))</f>
        <v/>
      </c>
      <c r="C46" t="str">
        <f>IF(A46="","",_xlfn.XLOOKUP(A46,Ingredienser!B:B,Ingredienser!D:D,""))</f>
        <v/>
      </c>
    </row>
    <row r="47" spans="1:3">
      <c r="B47" t="str">
        <f>IF(A47="","",SUMIF(Ingredienser!B:B,A47,Ingredienser!C:C))</f>
        <v/>
      </c>
      <c r="C47" t="str">
        <f>IF(A47="","",_xlfn.XLOOKUP(A47,Ingredienser!B:B,Ingredienser!D:D,""))</f>
        <v/>
      </c>
    </row>
    <row r="48" spans="1:3">
      <c r="B48" t="str">
        <f>IF(A48="","",SUMIF(Ingredienser!B:B,A48,Ingredienser!C:C))</f>
        <v/>
      </c>
      <c r="C48" t="str">
        <f>IF(A48="","",_xlfn.XLOOKUP(A48,Ingredienser!B:B,Ingredienser!D:D,""))</f>
        <v/>
      </c>
    </row>
    <row r="49" spans="2:3">
      <c r="B49" t="str">
        <f>IF(A49="","",SUMIF(Ingredienser!B:B,A49,Ingredienser!C:C))</f>
        <v/>
      </c>
      <c r="C49" t="str">
        <f>IF(A49="","",_xlfn.XLOOKUP(A49,Ingredienser!B:B,Ingredienser!D:D,""))</f>
        <v/>
      </c>
    </row>
    <row r="50" spans="2:3">
      <c r="B50" t="str">
        <f>IF(A50="","",SUMIF(Ingredienser!B:B,A50,Ingredienser!C:C))</f>
        <v/>
      </c>
      <c r="C50" t="str">
        <f>IF(A50="","",_xlfn.XLOOKUP(A50,Ingredienser!B:B,Ingredienser!D:D,""))</f>
        <v/>
      </c>
    </row>
    <row r="51" spans="2:3">
      <c r="B51" t="str">
        <f>IF(A51="","",SUMIF(Ingredienser!B:B,A51,Ingredienser!C:C))</f>
        <v/>
      </c>
      <c r="C51" t="str">
        <f>IF(A51="","",_xlfn.XLOOKUP(A51,Ingredienser!B:B,Ingredienser!D:D,""))</f>
        <v/>
      </c>
    </row>
    <row r="52" spans="2:3">
      <c r="B52" t="str">
        <f>IF(A52="","",SUMIF(Ingredienser!B:B,A52,Ingredienser!C:C))</f>
        <v/>
      </c>
      <c r="C52" t="str">
        <f>IF(A52="","",_xlfn.XLOOKUP(A52,Ingredienser!B:B,Ingredienser!D:D,""))</f>
        <v/>
      </c>
    </row>
    <row r="53" spans="2:3">
      <c r="B53" t="str">
        <f>IF(A53="","",SUMIF(Ingredienser!B:B,A53,Ingredienser!C:C))</f>
        <v/>
      </c>
      <c r="C53" t="str">
        <f>IF(A53="","",_xlfn.XLOOKUP(A53,Ingredienser!B:B,Ingredienser!D:D,""))</f>
        <v/>
      </c>
    </row>
    <row r="54" spans="2:3">
      <c r="B54" t="str">
        <f>IF(A54="","",SUMIF(Ingredienser!B:B,A54,Ingredienser!C:C))</f>
        <v/>
      </c>
      <c r="C54" t="str">
        <f>IF(A54="","",_xlfn.XLOOKUP(A54,Ingredienser!B:B,Ingredienser!D:D,""))</f>
        <v/>
      </c>
    </row>
    <row r="55" spans="2:3">
      <c r="B55" t="str">
        <f>IF(A55="","",SUMIF(Ingredienser!B:B,A55,Ingredienser!C:C))</f>
        <v/>
      </c>
      <c r="C55" t="str">
        <f>IF(A55="","",_xlfn.XLOOKUP(A55,Ingredienser!B:B,Ingredienser!D:D,""))</f>
        <v/>
      </c>
    </row>
    <row r="56" spans="2:3">
      <c r="B56" t="str">
        <f>IF(A56="","",SUMIF(Ingredienser!B:B,A56,Ingredienser!C:C))</f>
        <v/>
      </c>
      <c r="C56" t="str">
        <f>IF(A56="","",_xlfn.XLOOKUP(A56,Ingredienser!B:B,Ingredienser!D:D,""))</f>
        <v/>
      </c>
    </row>
    <row r="57" spans="2:3">
      <c r="B57" t="str">
        <f>IF(A57="","",SUMIF(Ingredienser!B:B,A57,Ingredienser!C:C))</f>
        <v/>
      </c>
      <c r="C57" t="str">
        <f>IF(A57="","",_xlfn.XLOOKUP(A57,Ingredienser!B:B,Ingredienser!D:D,""))</f>
        <v/>
      </c>
    </row>
    <row r="58" spans="2:3">
      <c r="B58" t="str">
        <f>IF(A58="","",SUMIF(Ingredienser!B:B,A58,Ingredienser!C:C))</f>
        <v/>
      </c>
      <c r="C58" t="str">
        <f>IF(A58="","",_xlfn.XLOOKUP(A58,Ingredienser!B:B,Ingredienser!D:D,""))</f>
        <v/>
      </c>
    </row>
    <row r="59" spans="2:3">
      <c r="B59" t="str">
        <f>IF(A59="","",SUMIF(Ingredienser!B:B,A59,Ingredienser!C:C))</f>
        <v/>
      </c>
      <c r="C59" t="str">
        <f>IF(A59="","",_xlfn.XLOOKUP(A59,Ingredienser!B:B,Ingredienser!D:D,""))</f>
        <v/>
      </c>
    </row>
    <row r="60" spans="2:3">
      <c r="B60" t="str">
        <f>IF(A60="","",SUMIF(Ingredienser!B:B,A60,Ingredienser!C:C))</f>
        <v/>
      </c>
      <c r="C60" t="str">
        <f>IF(A60="","",_xlfn.XLOOKUP(A60,Ingredienser!B:B,Ingredienser!D:D,""))</f>
        <v/>
      </c>
    </row>
    <row r="61" spans="2:3">
      <c r="B61" t="str">
        <f>IF(A61="","",SUMIF(Ingredienser!B:B,A61,Ingredienser!C:C))</f>
        <v/>
      </c>
      <c r="C61" t="str">
        <f>IF(A61="","",_xlfn.XLOOKUP(A61,Ingredienser!B:B,Ingredienser!D:D,""))</f>
        <v/>
      </c>
    </row>
    <row r="62" spans="2:3">
      <c r="B62" t="str">
        <f>IF(A62="","",SUMIF(Ingredienser!B:B,A62,Ingredienser!C:C))</f>
        <v/>
      </c>
      <c r="C62" t="str">
        <f>IF(A62="","",_xlfn.XLOOKUP(A62,Ingredienser!B:B,Ingredienser!D:D,""))</f>
        <v/>
      </c>
    </row>
    <row r="63" spans="2:3">
      <c r="B63" t="str">
        <f>IF(A63="","",SUMIF(Ingredienser!B:B,A63,Ingredienser!C:C))</f>
        <v/>
      </c>
      <c r="C63" t="str">
        <f>IF(A63="","",_xlfn.XLOOKUP(A63,Ingredienser!B:B,Ingredienser!D:D,""))</f>
        <v/>
      </c>
    </row>
    <row r="64" spans="2:3">
      <c r="B64" t="str">
        <f>IF(A64="","",SUMIF(Ingredienser!B:B,A64,Ingredienser!C:C))</f>
        <v/>
      </c>
      <c r="C64" t="str">
        <f>IF(A64="","",_xlfn.XLOOKUP(A64,Ingredienser!B:B,Ingredienser!D:D,""))</f>
        <v/>
      </c>
    </row>
    <row r="65" spans="2:3">
      <c r="B65" t="str">
        <f>IF(A65="","",SUMIF(Ingredienser!B:B,A65,Ingredienser!C:C))</f>
        <v/>
      </c>
      <c r="C65" t="str">
        <f>IF(A65="","",_xlfn.XLOOKUP(A65,Ingredienser!B:B,Ingredienser!D:D,""))</f>
        <v/>
      </c>
    </row>
    <row r="66" spans="2:3">
      <c r="B66" t="str">
        <f>IF(A66="","",SUMIF(Ingredienser!B:B,A66,Ingredienser!C:C))</f>
        <v/>
      </c>
      <c r="C66" t="str">
        <f>IF(A66="","",_xlfn.XLOOKUP(A66,Ingredienser!B:B,Ingredienser!D:D,""))</f>
        <v/>
      </c>
    </row>
    <row r="67" spans="2:3">
      <c r="B67" t="str">
        <f>IF(A67="","",SUMIF(Ingredienser!B:B,A67,Ingredienser!C:C))</f>
        <v/>
      </c>
      <c r="C67" t="str">
        <f>IF(A67="","",_xlfn.XLOOKUP(A67,Ingredienser!B:B,Ingredienser!D:D,""))</f>
        <v/>
      </c>
    </row>
    <row r="68" spans="2:3">
      <c r="B68" t="str">
        <f>IF(A68="","",SUMIF(Ingredienser!B:B,A68,Ingredienser!C:C))</f>
        <v/>
      </c>
      <c r="C68" t="str">
        <f>IF(A68="","",_xlfn.XLOOKUP(A68,Ingredienser!B:B,Ingredienser!D:D,""))</f>
        <v/>
      </c>
    </row>
    <row r="69" spans="2:3">
      <c r="B69" t="str">
        <f>IF(A69="","",SUMIF(Ingredienser!B:B,A69,Ingredienser!C:C))</f>
        <v/>
      </c>
      <c r="C69" t="str">
        <f>IF(A69="","",_xlfn.XLOOKUP(A69,Ingredienser!B:B,Ingredienser!D:D,""))</f>
        <v/>
      </c>
    </row>
    <row r="70" spans="2:3">
      <c r="B70" t="str">
        <f>IF(A70="","",SUMIF(Ingredienser!B:B,A70,Ingredienser!C:C))</f>
        <v/>
      </c>
      <c r="C70" t="str">
        <f>IF(A70="","",_xlfn.XLOOKUP(A70,Ingredienser!B:B,Ingredienser!D:D,""))</f>
        <v/>
      </c>
    </row>
    <row r="71" spans="2:3">
      <c r="B71" t="str">
        <f>IF(A71="","",SUMIF(Ingredienser!B:B,A71,Ingredienser!C:C))</f>
        <v/>
      </c>
      <c r="C71" t="str">
        <f>IF(A71="","",_xlfn.XLOOKUP(A71,Ingredienser!B:B,Ingredienser!D:D,""))</f>
        <v/>
      </c>
    </row>
    <row r="72" spans="2:3">
      <c r="B72" t="str">
        <f>IF(A72="","",SUMIF(Ingredienser!B:B,A72,Ingredienser!C:C))</f>
        <v/>
      </c>
      <c r="C72" t="str">
        <f>IF(A72="","",_xlfn.XLOOKUP(A72,Ingredienser!B:B,Ingredienser!D:D,""))</f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E283914-CE32-42B8-9559-2EC762F70314}">
          <x14:formula1>
            <xm:f>Planering!$A$2:$A$72</xm:f>
          </x14:formula1>
          <xm:sqref>G2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Tufvesson</dc:creator>
  <cp:keywords/>
  <dc:description/>
  <cp:lastModifiedBy>davsan@almafolkhogskola.se</cp:lastModifiedBy>
  <cp:revision/>
  <dcterms:created xsi:type="dcterms:W3CDTF">2025-11-29T16:37:24Z</dcterms:created>
  <dcterms:modified xsi:type="dcterms:W3CDTF">2025-11-29T18:53:05Z</dcterms:modified>
  <cp:category/>
  <cp:contentStatus/>
</cp:coreProperties>
</file>